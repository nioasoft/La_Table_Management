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Shaul\AppData\Documents\זאב מסמכים\"/>
    </mc:Choice>
  </mc:AlternateContent>
  <xr:revisionPtr revIDLastSave="0" documentId="13_ncr:1_{9F5BE84A-C23A-44D3-B797-9A3DB4E9126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0-11-12-2025" sheetId="6" r:id="rId1"/>
    <sheet name="גיליון2" sheetId="2" r:id="rId2"/>
    <sheet name="גיליון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00" i="6" l="1"/>
  <c r="Q99" i="6"/>
  <c r="Q97" i="6"/>
  <c r="Q96" i="6"/>
  <c r="E80" i="6"/>
  <c r="T132" i="6" l="1"/>
  <c r="S132" i="6"/>
  <c r="R132" i="6"/>
  <c r="P132" i="6"/>
  <c r="N132" i="6"/>
  <c r="M132" i="6"/>
  <c r="K132" i="6"/>
  <c r="I132" i="6"/>
  <c r="U132" i="6" s="1"/>
  <c r="H132" i="6"/>
  <c r="F132" i="6"/>
  <c r="U131" i="6"/>
  <c r="T131" i="6"/>
  <c r="S131" i="6"/>
  <c r="R131" i="6"/>
  <c r="P131" i="6"/>
  <c r="N131" i="6"/>
  <c r="M131" i="6"/>
  <c r="K131" i="6"/>
  <c r="I131" i="6"/>
  <c r="H131" i="6"/>
  <c r="F131" i="6"/>
  <c r="T130" i="6"/>
  <c r="S130" i="6"/>
  <c r="U130" i="6" s="1"/>
  <c r="R130" i="6"/>
  <c r="P130" i="6"/>
  <c r="N130" i="6"/>
  <c r="M130" i="6"/>
  <c r="K130" i="6"/>
  <c r="I130" i="6"/>
  <c r="H130" i="6"/>
  <c r="F130" i="6"/>
  <c r="T119" i="6"/>
  <c r="S119" i="6"/>
  <c r="R119" i="6"/>
  <c r="P119" i="6"/>
  <c r="N119" i="6"/>
  <c r="M119" i="6"/>
  <c r="K119" i="6"/>
  <c r="I119" i="6"/>
  <c r="H119" i="6"/>
  <c r="F119" i="6"/>
  <c r="T118" i="6"/>
  <c r="S118" i="6"/>
  <c r="R118" i="6"/>
  <c r="P118" i="6"/>
  <c r="N118" i="6"/>
  <c r="M118" i="6"/>
  <c r="K118" i="6"/>
  <c r="I118" i="6"/>
  <c r="H118" i="6"/>
  <c r="F118" i="6"/>
  <c r="T117" i="6"/>
  <c r="S117" i="6"/>
  <c r="R117" i="6"/>
  <c r="P117" i="6"/>
  <c r="N117" i="6"/>
  <c r="M117" i="6"/>
  <c r="K117" i="6"/>
  <c r="I117" i="6"/>
  <c r="H117" i="6"/>
  <c r="F117" i="6"/>
  <c r="T107" i="6"/>
  <c r="S107" i="6"/>
  <c r="U107" i="6" s="1"/>
  <c r="R107" i="6"/>
  <c r="P107" i="6"/>
  <c r="N107" i="6"/>
  <c r="M107" i="6"/>
  <c r="K107" i="6"/>
  <c r="I107" i="6"/>
  <c r="H107" i="6"/>
  <c r="F107" i="6"/>
  <c r="T106" i="6"/>
  <c r="S106" i="6"/>
  <c r="U106" i="6" s="1"/>
  <c r="R106" i="6"/>
  <c r="P106" i="6"/>
  <c r="N106" i="6"/>
  <c r="M106" i="6"/>
  <c r="K106" i="6"/>
  <c r="I106" i="6"/>
  <c r="H106" i="6"/>
  <c r="F106" i="6"/>
  <c r="T105" i="6"/>
  <c r="S105" i="6"/>
  <c r="U105" i="6" s="1"/>
  <c r="R105" i="6"/>
  <c r="P105" i="6"/>
  <c r="N105" i="6"/>
  <c r="M105" i="6"/>
  <c r="K105" i="6"/>
  <c r="I105" i="6"/>
  <c r="H105" i="6"/>
  <c r="F105" i="6"/>
  <c r="T94" i="6"/>
  <c r="S94" i="6"/>
  <c r="R94" i="6"/>
  <c r="P94" i="6"/>
  <c r="N94" i="6"/>
  <c r="M94" i="6"/>
  <c r="K94" i="6"/>
  <c r="I94" i="6"/>
  <c r="H94" i="6"/>
  <c r="F94" i="6"/>
  <c r="T93" i="6"/>
  <c r="S93" i="6"/>
  <c r="R93" i="6"/>
  <c r="P93" i="6"/>
  <c r="N93" i="6"/>
  <c r="M93" i="6"/>
  <c r="K93" i="6"/>
  <c r="I93" i="6"/>
  <c r="H93" i="6"/>
  <c r="F93" i="6"/>
  <c r="T92" i="6"/>
  <c r="S92" i="6"/>
  <c r="R92" i="6"/>
  <c r="P92" i="6"/>
  <c r="N92" i="6"/>
  <c r="M92" i="6"/>
  <c r="K92" i="6"/>
  <c r="I92" i="6"/>
  <c r="H92" i="6"/>
  <c r="F92" i="6"/>
  <c r="T81" i="6"/>
  <c r="S81" i="6"/>
  <c r="R81" i="6"/>
  <c r="P81" i="6"/>
  <c r="N81" i="6"/>
  <c r="M81" i="6"/>
  <c r="K81" i="6"/>
  <c r="I81" i="6"/>
  <c r="H81" i="6"/>
  <c r="F81" i="6"/>
  <c r="T80" i="6"/>
  <c r="S80" i="6"/>
  <c r="R80" i="6"/>
  <c r="P80" i="6"/>
  <c r="N80" i="6"/>
  <c r="M80" i="6"/>
  <c r="K80" i="6"/>
  <c r="I80" i="6"/>
  <c r="H80" i="6"/>
  <c r="F80" i="6"/>
  <c r="T79" i="6"/>
  <c r="S79" i="6"/>
  <c r="U79" i="6" s="1"/>
  <c r="R79" i="6"/>
  <c r="P79" i="6"/>
  <c r="N79" i="6"/>
  <c r="M79" i="6"/>
  <c r="K79" i="6"/>
  <c r="I79" i="6"/>
  <c r="H79" i="6"/>
  <c r="F79" i="6"/>
  <c r="F67" i="6"/>
  <c r="H67" i="6"/>
  <c r="I67" i="6"/>
  <c r="K67" i="6"/>
  <c r="M67" i="6"/>
  <c r="N67" i="6"/>
  <c r="P67" i="6"/>
  <c r="R67" i="6"/>
  <c r="S67" i="6"/>
  <c r="T67" i="6"/>
  <c r="F68" i="6"/>
  <c r="H68" i="6"/>
  <c r="I68" i="6"/>
  <c r="K68" i="6"/>
  <c r="M68" i="6"/>
  <c r="N68" i="6"/>
  <c r="P68" i="6"/>
  <c r="R68" i="6"/>
  <c r="S68" i="6"/>
  <c r="T68" i="6"/>
  <c r="T140" i="6"/>
  <c r="S140" i="6"/>
  <c r="R140" i="6"/>
  <c r="P140" i="6"/>
  <c r="N140" i="6"/>
  <c r="M140" i="6"/>
  <c r="K140" i="6"/>
  <c r="I140" i="6"/>
  <c r="H140" i="6"/>
  <c r="F140" i="6"/>
  <c r="T139" i="6"/>
  <c r="S139" i="6"/>
  <c r="R139" i="6"/>
  <c r="P139" i="6"/>
  <c r="N139" i="6"/>
  <c r="M139" i="6"/>
  <c r="K139" i="6"/>
  <c r="I139" i="6"/>
  <c r="H139" i="6"/>
  <c r="F139" i="6"/>
  <c r="M162" i="6"/>
  <c r="T88" i="6"/>
  <c r="S88" i="6"/>
  <c r="R88" i="6"/>
  <c r="P88" i="6"/>
  <c r="N88" i="6"/>
  <c r="M88" i="6"/>
  <c r="K88" i="6"/>
  <c r="I88" i="6"/>
  <c r="H88" i="6"/>
  <c r="F88" i="6"/>
  <c r="F6" i="6"/>
  <c r="F7" i="6"/>
  <c r="F8" i="6"/>
  <c r="F9" i="6"/>
  <c r="F10" i="6"/>
  <c r="F11" i="6"/>
  <c r="F12" i="6"/>
  <c r="F13" i="6"/>
  <c r="F14" i="6"/>
  <c r="F15" i="6"/>
  <c r="F101" i="6"/>
  <c r="H101" i="6"/>
  <c r="I101" i="6"/>
  <c r="K101" i="6"/>
  <c r="M101" i="6"/>
  <c r="N101" i="6"/>
  <c r="P101" i="6"/>
  <c r="R101" i="6"/>
  <c r="S101" i="6"/>
  <c r="T101" i="6"/>
  <c r="F75" i="6"/>
  <c r="H75" i="6"/>
  <c r="I75" i="6"/>
  <c r="K75" i="6"/>
  <c r="M75" i="6"/>
  <c r="N75" i="6"/>
  <c r="P75" i="6"/>
  <c r="R75" i="6"/>
  <c r="S75" i="6"/>
  <c r="T75" i="6"/>
  <c r="T126" i="6"/>
  <c r="S126" i="6"/>
  <c r="R126" i="6"/>
  <c r="P126" i="6"/>
  <c r="N126" i="6"/>
  <c r="M126" i="6"/>
  <c r="K126" i="6"/>
  <c r="I126" i="6"/>
  <c r="H126" i="6"/>
  <c r="F126" i="6"/>
  <c r="T125" i="6"/>
  <c r="S125" i="6"/>
  <c r="R125" i="6"/>
  <c r="P125" i="6"/>
  <c r="N125" i="6"/>
  <c r="M125" i="6"/>
  <c r="K125" i="6"/>
  <c r="I125" i="6"/>
  <c r="H125" i="6"/>
  <c r="F125" i="6"/>
  <c r="T124" i="6"/>
  <c r="S124" i="6"/>
  <c r="R124" i="6"/>
  <c r="P124" i="6"/>
  <c r="N124" i="6"/>
  <c r="M124" i="6"/>
  <c r="K124" i="6"/>
  <c r="I124" i="6"/>
  <c r="H124" i="6"/>
  <c r="F124" i="6"/>
  <c r="P14" i="6"/>
  <c r="T127" i="6"/>
  <c r="S127" i="6"/>
  <c r="R127" i="6"/>
  <c r="P127" i="6"/>
  <c r="N127" i="6"/>
  <c r="M127" i="6"/>
  <c r="K127" i="6"/>
  <c r="I127" i="6"/>
  <c r="H127" i="6"/>
  <c r="F127" i="6"/>
  <c r="T123" i="6"/>
  <c r="S123" i="6"/>
  <c r="R123" i="6"/>
  <c r="P123" i="6"/>
  <c r="N123" i="6"/>
  <c r="M123" i="6"/>
  <c r="K123" i="6"/>
  <c r="I123" i="6"/>
  <c r="H123" i="6"/>
  <c r="F123" i="6"/>
  <c r="T122" i="6"/>
  <c r="S122" i="6"/>
  <c r="R122" i="6"/>
  <c r="P122" i="6"/>
  <c r="N122" i="6"/>
  <c r="M122" i="6"/>
  <c r="K122" i="6"/>
  <c r="I122" i="6"/>
  <c r="H122" i="6"/>
  <c r="F122" i="6"/>
  <c r="T121" i="6"/>
  <c r="S121" i="6"/>
  <c r="R121" i="6"/>
  <c r="P121" i="6"/>
  <c r="N121" i="6"/>
  <c r="M121" i="6"/>
  <c r="K121" i="6"/>
  <c r="I121" i="6"/>
  <c r="H121" i="6"/>
  <c r="F121" i="6"/>
  <c r="T120" i="6"/>
  <c r="S120" i="6"/>
  <c r="R120" i="6"/>
  <c r="P120" i="6"/>
  <c r="N120" i="6"/>
  <c r="M120" i="6"/>
  <c r="K120" i="6"/>
  <c r="I120" i="6"/>
  <c r="H120" i="6"/>
  <c r="F120" i="6"/>
  <c r="T62" i="6"/>
  <c r="S62" i="6"/>
  <c r="R62" i="6"/>
  <c r="P62" i="6"/>
  <c r="N62" i="6"/>
  <c r="M62" i="6"/>
  <c r="K62" i="6"/>
  <c r="I62" i="6"/>
  <c r="H62" i="6"/>
  <c r="F62" i="6"/>
  <c r="T50" i="6"/>
  <c r="S50" i="6"/>
  <c r="R50" i="6"/>
  <c r="P50" i="6"/>
  <c r="N50" i="6"/>
  <c r="M50" i="6"/>
  <c r="K50" i="6"/>
  <c r="I50" i="6"/>
  <c r="H50" i="6"/>
  <c r="F50" i="6"/>
  <c r="T38" i="6"/>
  <c r="S38" i="6"/>
  <c r="R38" i="6"/>
  <c r="P38" i="6"/>
  <c r="N38" i="6"/>
  <c r="M38" i="6"/>
  <c r="K38" i="6"/>
  <c r="I38" i="6"/>
  <c r="H38" i="6"/>
  <c r="F38" i="6"/>
  <c r="T26" i="6"/>
  <c r="S26" i="6"/>
  <c r="R26" i="6"/>
  <c r="P26" i="6"/>
  <c r="N26" i="6"/>
  <c r="M26" i="6"/>
  <c r="K26" i="6"/>
  <c r="I26" i="6"/>
  <c r="H26" i="6"/>
  <c r="F26" i="6"/>
  <c r="T14" i="6"/>
  <c r="S14" i="6"/>
  <c r="R14" i="6"/>
  <c r="N14" i="6"/>
  <c r="M14" i="6"/>
  <c r="K14" i="6"/>
  <c r="I14" i="6"/>
  <c r="H14" i="6"/>
  <c r="T208" i="6"/>
  <c r="S208" i="6"/>
  <c r="R208" i="6"/>
  <c r="P208" i="6"/>
  <c r="N208" i="6"/>
  <c r="M208" i="6"/>
  <c r="K208" i="6"/>
  <c r="I208" i="6"/>
  <c r="H208" i="6"/>
  <c r="F208" i="6"/>
  <c r="T207" i="6"/>
  <c r="S207" i="6"/>
  <c r="R207" i="6"/>
  <c r="P207" i="6"/>
  <c r="N207" i="6"/>
  <c r="M207" i="6"/>
  <c r="K207" i="6"/>
  <c r="I207" i="6"/>
  <c r="H207" i="6"/>
  <c r="F207" i="6"/>
  <c r="T199" i="6"/>
  <c r="S199" i="6"/>
  <c r="R199" i="6"/>
  <c r="P199" i="6"/>
  <c r="N199" i="6"/>
  <c r="M199" i="6"/>
  <c r="K199" i="6"/>
  <c r="I199" i="6"/>
  <c r="H199" i="6"/>
  <c r="F199" i="6"/>
  <c r="T198" i="6"/>
  <c r="S198" i="6"/>
  <c r="R198" i="6"/>
  <c r="P198" i="6"/>
  <c r="N198" i="6"/>
  <c r="M198" i="6"/>
  <c r="K198" i="6"/>
  <c r="I198" i="6"/>
  <c r="H198" i="6"/>
  <c r="F198" i="6"/>
  <c r="T190" i="6"/>
  <c r="S190" i="6"/>
  <c r="R190" i="6"/>
  <c r="P190" i="6"/>
  <c r="N190" i="6"/>
  <c r="M190" i="6"/>
  <c r="K190" i="6"/>
  <c r="I190" i="6"/>
  <c r="H190" i="6"/>
  <c r="F190" i="6"/>
  <c r="T189" i="6"/>
  <c r="S189" i="6"/>
  <c r="R189" i="6"/>
  <c r="P189" i="6"/>
  <c r="N189" i="6"/>
  <c r="M189" i="6"/>
  <c r="K189" i="6"/>
  <c r="I189" i="6"/>
  <c r="H189" i="6"/>
  <c r="F189" i="6"/>
  <c r="T181" i="6"/>
  <c r="S181" i="6"/>
  <c r="R181" i="6"/>
  <c r="P181" i="6"/>
  <c r="N181" i="6"/>
  <c r="M181" i="6"/>
  <c r="K181" i="6"/>
  <c r="I181" i="6"/>
  <c r="H181" i="6"/>
  <c r="F181" i="6"/>
  <c r="T180" i="6"/>
  <c r="S180" i="6"/>
  <c r="R180" i="6"/>
  <c r="P180" i="6"/>
  <c r="N180" i="6"/>
  <c r="M180" i="6"/>
  <c r="K180" i="6"/>
  <c r="I180" i="6"/>
  <c r="H180" i="6"/>
  <c r="F180" i="6"/>
  <c r="T172" i="6"/>
  <c r="S172" i="6"/>
  <c r="R172" i="6"/>
  <c r="P172" i="6"/>
  <c r="N172" i="6"/>
  <c r="M172" i="6"/>
  <c r="K172" i="6"/>
  <c r="I172" i="6"/>
  <c r="H172" i="6"/>
  <c r="F172" i="6"/>
  <c r="T171" i="6"/>
  <c r="S171" i="6"/>
  <c r="R171" i="6"/>
  <c r="P171" i="6"/>
  <c r="N171" i="6"/>
  <c r="M171" i="6"/>
  <c r="K171" i="6"/>
  <c r="I171" i="6"/>
  <c r="H171" i="6"/>
  <c r="F171" i="6"/>
  <c r="T163" i="6"/>
  <c r="S163" i="6"/>
  <c r="R163" i="6"/>
  <c r="P163" i="6"/>
  <c r="N163" i="6"/>
  <c r="M163" i="6"/>
  <c r="K163" i="6"/>
  <c r="I163" i="6"/>
  <c r="H163" i="6"/>
  <c r="F163" i="6"/>
  <c r="T162" i="6"/>
  <c r="S162" i="6"/>
  <c r="R162" i="6"/>
  <c r="P162" i="6"/>
  <c r="K162" i="6"/>
  <c r="I162" i="6"/>
  <c r="H162" i="6"/>
  <c r="F162" i="6"/>
  <c r="T149" i="6"/>
  <c r="S149" i="6"/>
  <c r="R149" i="6"/>
  <c r="P149" i="6"/>
  <c r="N149" i="6"/>
  <c r="M149" i="6"/>
  <c r="K149" i="6"/>
  <c r="I149" i="6"/>
  <c r="H149" i="6"/>
  <c r="F149" i="6"/>
  <c r="T148" i="6"/>
  <c r="S148" i="6"/>
  <c r="R148" i="6"/>
  <c r="P148" i="6"/>
  <c r="N148" i="6"/>
  <c r="M148" i="6"/>
  <c r="K148" i="6"/>
  <c r="I148" i="6"/>
  <c r="H148" i="6"/>
  <c r="F148" i="6"/>
  <c r="T138" i="6"/>
  <c r="S138" i="6"/>
  <c r="R138" i="6"/>
  <c r="P138" i="6"/>
  <c r="N138" i="6"/>
  <c r="M138" i="6"/>
  <c r="K138" i="6"/>
  <c r="I138" i="6"/>
  <c r="H138" i="6"/>
  <c r="F138" i="6"/>
  <c r="T137" i="6"/>
  <c r="S137" i="6"/>
  <c r="R137" i="6"/>
  <c r="P137" i="6"/>
  <c r="N137" i="6"/>
  <c r="M137" i="6"/>
  <c r="K137" i="6"/>
  <c r="I137" i="6"/>
  <c r="H137" i="6"/>
  <c r="F137" i="6"/>
  <c r="T113" i="6"/>
  <c r="S113" i="6"/>
  <c r="R113" i="6"/>
  <c r="P113" i="6"/>
  <c r="N113" i="6"/>
  <c r="M113" i="6"/>
  <c r="K113" i="6"/>
  <c r="I113" i="6"/>
  <c r="H113" i="6"/>
  <c r="F113" i="6"/>
  <c r="T100" i="6"/>
  <c r="S100" i="6"/>
  <c r="R100" i="6"/>
  <c r="P100" i="6"/>
  <c r="N100" i="6"/>
  <c r="M100" i="6"/>
  <c r="K100" i="6"/>
  <c r="I100" i="6"/>
  <c r="H100" i="6"/>
  <c r="F100" i="6"/>
  <c r="T87" i="6"/>
  <c r="S87" i="6"/>
  <c r="R87" i="6"/>
  <c r="P87" i="6"/>
  <c r="N87" i="6"/>
  <c r="M87" i="6"/>
  <c r="K87" i="6"/>
  <c r="I87" i="6"/>
  <c r="H87" i="6"/>
  <c r="F87" i="6"/>
  <c r="T61" i="6"/>
  <c r="S61" i="6"/>
  <c r="R61" i="6"/>
  <c r="P61" i="6"/>
  <c r="N61" i="6"/>
  <c r="M61" i="6"/>
  <c r="K61" i="6"/>
  <c r="I61" i="6"/>
  <c r="H61" i="6"/>
  <c r="F61" i="6"/>
  <c r="T49" i="6"/>
  <c r="S49" i="6"/>
  <c r="R49" i="6"/>
  <c r="P49" i="6"/>
  <c r="N49" i="6"/>
  <c r="M49" i="6"/>
  <c r="K49" i="6"/>
  <c r="I49" i="6"/>
  <c r="H49" i="6"/>
  <c r="F49" i="6"/>
  <c r="T37" i="6"/>
  <c r="S37" i="6"/>
  <c r="R37" i="6"/>
  <c r="P37" i="6"/>
  <c r="N37" i="6"/>
  <c r="M37" i="6"/>
  <c r="K37" i="6"/>
  <c r="I37" i="6"/>
  <c r="H37" i="6"/>
  <c r="F37" i="6"/>
  <c r="T25" i="6"/>
  <c r="S25" i="6"/>
  <c r="R25" i="6"/>
  <c r="P25" i="6"/>
  <c r="N25" i="6"/>
  <c r="M25" i="6"/>
  <c r="K25" i="6"/>
  <c r="I25" i="6"/>
  <c r="H25" i="6"/>
  <c r="F25" i="6"/>
  <c r="T13" i="6"/>
  <c r="S13" i="6"/>
  <c r="R13" i="6"/>
  <c r="P13" i="6"/>
  <c r="N13" i="6"/>
  <c r="M13" i="6"/>
  <c r="K13" i="6"/>
  <c r="I13" i="6"/>
  <c r="H13" i="6"/>
  <c r="T74" i="6"/>
  <c r="S74" i="6"/>
  <c r="R74" i="6"/>
  <c r="P74" i="6"/>
  <c r="N74" i="6"/>
  <c r="M74" i="6"/>
  <c r="K74" i="6"/>
  <c r="I74" i="6"/>
  <c r="H74" i="6"/>
  <c r="F74" i="6"/>
  <c r="T86" i="6"/>
  <c r="S86" i="6"/>
  <c r="R86" i="6"/>
  <c r="P86" i="6"/>
  <c r="N86" i="6"/>
  <c r="M86" i="6"/>
  <c r="K86" i="6"/>
  <c r="I86" i="6"/>
  <c r="H86" i="6"/>
  <c r="F86" i="6"/>
  <c r="T216" i="6"/>
  <c r="T215" i="6"/>
  <c r="T214" i="6"/>
  <c r="T213" i="6"/>
  <c r="T212" i="6"/>
  <c r="T211" i="6"/>
  <c r="T206" i="6"/>
  <c r="T205" i="6"/>
  <c r="T204" i="6"/>
  <c r="T203" i="6"/>
  <c r="T202" i="6"/>
  <c r="T197" i="6"/>
  <c r="T196" i="6"/>
  <c r="T195" i="6"/>
  <c r="T194" i="6"/>
  <c r="T193" i="6"/>
  <c r="T188" i="6"/>
  <c r="T187" i="6"/>
  <c r="T186" i="6"/>
  <c r="T185" i="6"/>
  <c r="T184" i="6"/>
  <c r="T179" i="6"/>
  <c r="T178" i="6"/>
  <c r="T177" i="6"/>
  <c r="T176" i="6"/>
  <c r="T175" i="6"/>
  <c r="T170" i="6"/>
  <c r="T169" i="6"/>
  <c r="T168" i="6"/>
  <c r="T167" i="6"/>
  <c r="T166" i="6"/>
  <c r="T158" i="6"/>
  <c r="T159" i="6"/>
  <c r="T160" i="6"/>
  <c r="T161" i="6"/>
  <c r="T157" i="6"/>
  <c r="T144" i="6"/>
  <c r="T145" i="6"/>
  <c r="T146" i="6"/>
  <c r="T147" i="6"/>
  <c r="T150" i="6"/>
  <c r="T151" i="6"/>
  <c r="T152" i="6"/>
  <c r="T153" i="6"/>
  <c r="T154" i="6"/>
  <c r="T143" i="6"/>
  <c r="T136" i="6"/>
  <c r="T135" i="6"/>
  <c r="T134" i="6"/>
  <c r="T133" i="6"/>
  <c r="T114" i="6"/>
  <c r="T112" i="6"/>
  <c r="T111" i="6"/>
  <c r="T110" i="6"/>
  <c r="T109" i="6"/>
  <c r="T108" i="6"/>
  <c r="T102" i="6"/>
  <c r="T99" i="6"/>
  <c r="T98" i="6"/>
  <c r="T97" i="6"/>
  <c r="T96" i="6"/>
  <c r="T95" i="6"/>
  <c r="T89" i="6"/>
  <c r="T85" i="6"/>
  <c r="T84" i="6"/>
  <c r="T83" i="6"/>
  <c r="T82" i="6"/>
  <c r="T76" i="6"/>
  <c r="T73" i="6"/>
  <c r="T72" i="6"/>
  <c r="T71" i="6"/>
  <c r="T70" i="6"/>
  <c r="T69" i="6"/>
  <c r="T66" i="6"/>
  <c r="T63" i="6"/>
  <c r="T60" i="6"/>
  <c r="T59" i="6"/>
  <c r="T58" i="6"/>
  <c r="T57" i="6"/>
  <c r="T56" i="6"/>
  <c r="T55" i="6"/>
  <c r="T54" i="6"/>
  <c r="T51" i="6"/>
  <c r="T48" i="6"/>
  <c r="T47" i="6"/>
  <c r="T46" i="6"/>
  <c r="T45" i="6"/>
  <c r="T44" i="6"/>
  <c r="T43" i="6"/>
  <c r="T42" i="6"/>
  <c r="T39" i="6"/>
  <c r="T36" i="6"/>
  <c r="T35" i="6"/>
  <c r="T34" i="6"/>
  <c r="T33" i="6"/>
  <c r="T32" i="6"/>
  <c r="T31" i="6"/>
  <c r="T30" i="6"/>
  <c r="T27" i="6"/>
  <c r="T24" i="6"/>
  <c r="T23" i="6"/>
  <c r="T22" i="6"/>
  <c r="T21" i="6"/>
  <c r="T20" i="6"/>
  <c r="T19" i="6"/>
  <c r="T18" i="6"/>
  <c r="T7" i="6"/>
  <c r="T8" i="6"/>
  <c r="T9" i="6"/>
  <c r="T10" i="6"/>
  <c r="T11" i="6"/>
  <c r="T12" i="6"/>
  <c r="T15" i="6"/>
  <c r="T6" i="6"/>
  <c r="N114" i="6"/>
  <c r="K114" i="6"/>
  <c r="N102" i="6"/>
  <c r="K102" i="6"/>
  <c r="S102" i="6"/>
  <c r="R102" i="6"/>
  <c r="P102" i="6"/>
  <c r="M102" i="6"/>
  <c r="I102" i="6"/>
  <c r="H102" i="6"/>
  <c r="F102" i="6"/>
  <c r="S99" i="6"/>
  <c r="R99" i="6"/>
  <c r="P99" i="6"/>
  <c r="N99" i="6"/>
  <c r="M99" i="6"/>
  <c r="K99" i="6"/>
  <c r="I99" i="6"/>
  <c r="H99" i="6"/>
  <c r="F99" i="6"/>
  <c r="S98" i="6"/>
  <c r="R98" i="6"/>
  <c r="P98" i="6"/>
  <c r="N98" i="6"/>
  <c r="M98" i="6"/>
  <c r="K98" i="6"/>
  <c r="I98" i="6"/>
  <c r="H98" i="6"/>
  <c r="F98" i="6"/>
  <c r="S97" i="6"/>
  <c r="R97" i="6"/>
  <c r="P97" i="6"/>
  <c r="N97" i="6"/>
  <c r="M97" i="6"/>
  <c r="K97" i="6"/>
  <c r="I97" i="6"/>
  <c r="H97" i="6"/>
  <c r="F97" i="6"/>
  <c r="S96" i="6"/>
  <c r="R96" i="6"/>
  <c r="P96" i="6"/>
  <c r="N96" i="6"/>
  <c r="M96" i="6"/>
  <c r="K96" i="6"/>
  <c r="I96" i="6"/>
  <c r="H96" i="6"/>
  <c r="F96" i="6"/>
  <c r="S95" i="6"/>
  <c r="R95" i="6"/>
  <c r="P95" i="6"/>
  <c r="N95" i="6"/>
  <c r="M95" i="6"/>
  <c r="K95" i="6"/>
  <c r="I95" i="6"/>
  <c r="H95" i="6"/>
  <c r="F95" i="6"/>
  <c r="S73" i="6"/>
  <c r="R73" i="6"/>
  <c r="P73" i="6"/>
  <c r="N73" i="6"/>
  <c r="M73" i="6"/>
  <c r="K73" i="6"/>
  <c r="I73" i="6"/>
  <c r="H73" i="6"/>
  <c r="F73" i="6"/>
  <c r="I114" i="6"/>
  <c r="F114" i="6"/>
  <c r="U94" i="6" l="1"/>
  <c r="U93" i="6"/>
  <c r="U119" i="6"/>
  <c r="U118" i="6"/>
  <c r="U117" i="6"/>
  <c r="U92" i="6"/>
  <c r="U80" i="6"/>
  <c r="U67" i="6"/>
  <c r="U68" i="6"/>
  <c r="U81" i="6"/>
  <c r="F16" i="6"/>
  <c r="N162" i="6"/>
  <c r="U139" i="6"/>
  <c r="U140" i="6"/>
  <c r="U88" i="6"/>
  <c r="U75" i="6"/>
  <c r="U125" i="6"/>
  <c r="U101" i="6"/>
  <c r="U126" i="6"/>
  <c r="U124" i="6"/>
  <c r="U122" i="6"/>
  <c r="U50" i="6"/>
  <c r="U127" i="6"/>
  <c r="U26" i="6"/>
  <c r="M128" i="6"/>
  <c r="U38" i="6"/>
  <c r="H128" i="6"/>
  <c r="I128" i="6"/>
  <c r="U120" i="6"/>
  <c r="U123" i="6"/>
  <c r="F128" i="6"/>
  <c r="P128" i="6"/>
  <c r="R128" i="6"/>
  <c r="S128" i="6"/>
  <c r="U121" i="6"/>
  <c r="K128" i="6"/>
  <c r="N128" i="6"/>
  <c r="U14" i="6"/>
  <c r="U207" i="6"/>
  <c r="U172" i="6"/>
  <c r="U199" i="6"/>
  <c r="U62" i="6"/>
  <c r="I103" i="6"/>
  <c r="U171" i="6"/>
  <c r="U189" i="6"/>
  <c r="U148" i="6"/>
  <c r="U163" i="6"/>
  <c r="U181" i="6"/>
  <c r="U190" i="6"/>
  <c r="U162" i="6"/>
  <c r="U149" i="6"/>
  <c r="U180" i="6"/>
  <c r="U198" i="6"/>
  <c r="U208" i="6"/>
  <c r="U138" i="6"/>
  <c r="U100" i="6"/>
  <c r="U87" i="6"/>
  <c r="U113" i="6"/>
  <c r="U137" i="6"/>
  <c r="U13" i="6"/>
  <c r="U37" i="6"/>
  <c r="U49" i="6"/>
  <c r="U61" i="6"/>
  <c r="U25" i="6"/>
  <c r="U74" i="6"/>
  <c r="U102" i="6"/>
  <c r="U86" i="6"/>
  <c r="M103" i="6"/>
  <c r="F103" i="6"/>
  <c r="H103" i="6"/>
  <c r="R103" i="6"/>
  <c r="P103" i="6"/>
  <c r="U98" i="6"/>
  <c r="K103" i="6"/>
  <c r="U96" i="6"/>
  <c r="N103" i="6"/>
  <c r="U97" i="6"/>
  <c r="U95" i="6"/>
  <c r="U99" i="6"/>
  <c r="S103" i="6"/>
  <c r="U73" i="6"/>
  <c r="S216" i="6"/>
  <c r="R216" i="6"/>
  <c r="P216" i="6"/>
  <c r="N216" i="6"/>
  <c r="M216" i="6"/>
  <c r="K216" i="6"/>
  <c r="I216" i="6"/>
  <c r="H216" i="6"/>
  <c r="F216" i="6"/>
  <c r="S215" i="6"/>
  <c r="R215" i="6"/>
  <c r="P215" i="6"/>
  <c r="N215" i="6"/>
  <c r="M215" i="6"/>
  <c r="K215" i="6"/>
  <c r="I215" i="6"/>
  <c r="H215" i="6"/>
  <c r="F215" i="6"/>
  <c r="S214" i="6"/>
  <c r="R214" i="6"/>
  <c r="P214" i="6"/>
  <c r="N214" i="6"/>
  <c r="M214" i="6"/>
  <c r="K214" i="6"/>
  <c r="I214" i="6"/>
  <c r="H214" i="6"/>
  <c r="F214" i="6"/>
  <c r="S213" i="6"/>
  <c r="R213" i="6"/>
  <c r="P213" i="6"/>
  <c r="N213" i="6"/>
  <c r="M213" i="6"/>
  <c r="K213" i="6"/>
  <c r="I213" i="6"/>
  <c r="H213" i="6"/>
  <c r="F213" i="6"/>
  <c r="S212" i="6"/>
  <c r="R212" i="6"/>
  <c r="P212" i="6"/>
  <c r="N212" i="6"/>
  <c r="M212" i="6"/>
  <c r="K212" i="6"/>
  <c r="I212" i="6"/>
  <c r="H212" i="6"/>
  <c r="F212" i="6"/>
  <c r="S211" i="6"/>
  <c r="R211" i="6"/>
  <c r="P211" i="6"/>
  <c r="N211" i="6"/>
  <c r="M211" i="6"/>
  <c r="K211" i="6"/>
  <c r="I211" i="6"/>
  <c r="H211" i="6"/>
  <c r="F211" i="6"/>
  <c r="S206" i="6"/>
  <c r="R206" i="6"/>
  <c r="P206" i="6"/>
  <c r="N206" i="6"/>
  <c r="M206" i="6"/>
  <c r="K206" i="6"/>
  <c r="I206" i="6"/>
  <c r="H206" i="6"/>
  <c r="F206" i="6"/>
  <c r="S205" i="6"/>
  <c r="R205" i="6"/>
  <c r="P205" i="6"/>
  <c r="N205" i="6"/>
  <c r="M205" i="6"/>
  <c r="K205" i="6"/>
  <c r="I205" i="6"/>
  <c r="H205" i="6"/>
  <c r="F205" i="6"/>
  <c r="S204" i="6"/>
  <c r="R204" i="6"/>
  <c r="P204" i="6"/>
  <c r="N204" i="6"/>
  <c r="M204" i="6"/>
  <c r="K204" i="6"/>
  <c r="I204" i="6"/>
  <c r="H204" i="6"/>
  <c r="F204" i="6"/>
  <c r="S203" i="6"/>
  <c r="R203" i="6"/>
  <c r="P203" i="6"/>
  <c r="N203" i="6"/>
  <c r="M203" i="6"/>
  <c r="K203" i="6"/>
  <c r="I203" i="6"/>
  <c r="H203" i="6"/>
  <c r="F203" i="6"/>
  <c r="S202" i="6"/>
  <c r="R202" i="6"/>
  <c r="P202" i="6"/>
  <c r="N202" i="6"/>
  <c r="M202" i="6"/>
  <c r="K202" i="6"/>
  <c r="I202" i="6"/>
  <c r="H202" i="6"/>
  <c r="F202" i="6"/>
  <c r="S197" i="6"/>
  <c r="R197" i="6"/>
  <c r="P197" i="6"/>
  <c r="N197" i="6"/>
  <c r="M197" i="6"/>
  <c r="K197" i="6"/>
  <c r="I197" i="6"/>
  <c r="H197" i="6"/>
  <c r="F197" i="6"/>
  <c r="S196" i="6"/>
  <c r="R196" i="6"/>
  <c r="P196" i="6"/>
  <c r="N196" i="6"/>
  <c r="M196" i="6"/>
  <c r="K196" i="6"/>
  <c r="I196" i="6"/>
  <c r="H196" i="6"/>
  <c r="F196" i="6"/>
  <c r="S195" i="6"/>
  <c r="R195" i="6"/>
  <c r="P195" i="6"/>
  <c r="N195" i="6"/>
  <c r="M195" i="6"/>
  <c r="K195" i="6"/>
  <c r="I195" i="6"/>
  <c r="H195" i="6"/>
  <c r="F195" i="6"/>
  <c r="S194" i="6"/>
  <c r="R194" i="6"/>
  <c r="P194" i="6"/>
  <c r="N194" i="6"/>
  <c r="M194" i="6"/>
  <c r="K194" i="6"/>
  <c r="I194" i="6"/>
  <c r="H194" i="6"/>
  <c r="F194" i="6"/>
  <c r="S193" i="6"/>
  <c r="R193" i="6"/>
  <c r="P193" i="6"/>
  <c r="N193" i="6"/>
  <c r="M193" i="6"/>
  <c r="K193" i="6"/>
  <c r="I193" i="6"/>
  <c r="H193" i="6"/>
  <c r="F193" i="6"/>
  <c r="S188" i="6"/>
  <c r="R188" i="6"/>
  <c r="P188" i="6"/>
  <c r="N188" i="6"/>
  <c r="M188" i="6"/>
  <c r="K188" i="6"/>
  <c r="I188" i="6"/>
  <c r="H188" i="6"/>
  <c r="F188" i="6"/>
  <c r="S187" i="6"/>
  <c r="R187" i="6"/>
  <c r="P187" i="6"/>
  <c r="N187" i="6"/>
  <c r="M187" i="6"/>
  <c r="K187" i="6"/>
  <c r="I187" i="6"/>
  <c r="H187" i="6"/>
  <c r="F187" i="6"/>
  <c r="S186" i="6"/>
  <c r="R186" i="6"/>
  <c r="P186" i="6"/>
  <c r="N186" i="6"/>
  <c r="M186" i="6"/>
  <c r="K186" i="6"/>
  <c r="I186" i="6"/>
  <c r="H186" i="6"/>
  <c r="F186" i="6"/>
  <c r="S185" i="6"/>
  <c r="R185" i="6"/>
  <c r="P185" i="6"/>
  <c r="N185" i="6"/>
  <c r="M185" i="6"/>
  <c r="K185" i="6"/>
  <c r="I185" i="6"/>
  <c r="H185" i="6"/>
  <c r="F185" i="6"/>
  <c r="S184" i="6"/>
  <c r="R184" i="6"/>
  <c r="P184" i="6"/>
  <c r="N184" i="6"/>
  <c r="M184" i="6"/>
  <c r="K184" i="6"/>
  <c r="I184" i="6"/>
  <c r="H184" i="6"/>
  <c r="F184" i="6"/>
  <c r="S179" i="6"/>
  <c r="R179" i="6"/>
  <c r="P179" i="6"/>
  <c r="N179" i="6"/>
  <c r="M179" i="6"/>
  <c r="K179" i="6"/>
  <c r="I179" i="6"/>
  <c r="H179" i="6"/>
  <c r="F179" i="6"/>
  <c r="S178" i="6"/>
  <c r="R178" i="6"/>
  <c r="P178" i="6"/>
  <c r="N178" i="6"/>
  <c r="M178" i="6"/>
  <c r="K178" i="6"/>
  <c r="I178" i="6"/>
  <c r="H178" i="6"/>
  <c r="F178" i="6"/>
  <c r="S177" i="6"/>
  <c r="R177" i="6"/>
  <c r="P177" i="6"/>
  <c r="N177" i="6"/>
  <c r="M177" i="6"/>
  <c r="K177" i="6"/>
  <c r="I177" i="6"/>
  <c r="H177" i="6"/>
  <c r="F177" i="6"/>
  <c r="S176" i="6"/>
  <c r="R176" i="6"/>
  <c r="P176" i="6"/>
  <c r="N176" i="6"/>
  <c r="M176" i="6"/>
  <c r="K176" i="6"/>
  <c r="I176" i="6"/>
  <c r="H176" i="6"/>
  <c r="F176" i="6"/>
  <c r="S175" i="6"/>
  <c r="R175" i="6"/>
  <c r="P175" i="6"/>
  <c r="N175" i="6"/>
  <c r="M175" i="6"/>
  <c r="K175" i="6"/>
  <c r="I175" i="6"/>
  <c r="H175" i="6"/>
  <c r="F175" i="6"/>
  <c r="S170" i="6"/>
  <c r="R170" i="6"/>
  <c r="P170" i="6"/>
  <c r="N170" i="6"/>
  <c r="M170" i="6"/>
  <c r="K170" i="6"/>
  <c r="I170" i="6"/>
  <c r="H170" i="6"/>
  <c r="F170" i="6"/>
  <c r="S169" i="6"/>
  <c r="R169" i="6"/>
  <c r="P169" i="6"/>
  <c r="N169" i="6"/>
  <c r="M169" i="6"/>
  <c r="K169" i="6"/>
  <c r="I169" i="6"/>
  <c r="H169" i="6"/>
  <c r="F169" i="6"/>
  <c r="S168" i="6"/>
  <c r="R168" i="6"/>
  <c r="P168" i="6"/>
  <c r="N168" i="6"/>
  <c r="M168" i="6"/>
  <c r="K168" i="6"/>
  <c r="I168" i="6"/>
  <c r="H168" i="6"/>
  <c r="F168" i="6"/>
  <c r="S167" i="6"/>
  <c r="R167" i="6"/>
  <c r="P167" i="6"/>
  <c r="N167" i="6"/>
  <c r="M167" i="6"/>
  <c r="K167" i="6"/>
  <c r="I167" i="6"/>
  <c r="H167" i="6"/>
  <c r="F167" i="6"/>
  <c r="S166" i="6"/>
  <c r="R166" i="6"/>
  <c r="P166" i="6"/>
  <c r="N166" i="6"/>
  <c r="M166" i="6"/>
  <c r="K166" i="6"/>
  <c r="I166" i="6"/>
  <c r="H166" i="6"/>
  <c r="F166" i="6"/>
  <c r="S161" i="6"/>
  <c r="R161" i="6"/>
  <c r="P161" i="6"/>
  <c r="N161" i="6"/>
  <c r="M161" i="6"/>
  <c r="K161" i="6"/>
  <c r="I161" i="6"/>
  <c r="H161" i="6"/>
  <c r="F161" i="6"/>
  <c r="S160" i="6"/>
  <c r="R160" i="6"/>
  <c r="P160" i="6"/>
  <c r="N160" i="6"/>
  <c r="M160" i="6"/>
  <c r="K160" i="6"/>
  <c r="I160" i="6"/>
  <c r="H160" i="6"/>
  <c r="F160" i="6"/>
  <c r="S159" i="6"/>
  <c r="R159" i="6"/>
  <c r="P159" i="6"/>
  <c r="N159" i="6"/>
  <c r="M159" i="6"/>
  <c r="K159" i="6"/>
  <c r="I159" i="6"/>
  <c r="H159" i="6"/>
  <c r="F159" i="6"/>
  <c r="S158" i="6"/>
  <c r="R158" i="6"/>
  <c r="P158" i="6"/>
  <c r="N158" i="6"/>
  <c r="M158" i="6"/>
  <c r="K158" i="6"/>
  <c r="I158" i="6"/>
  <c r="H158" i="6"/>
  <c r="F158" i="6"/>
  <c r="S157" i="6"/>
  <c r="R157" i="6"/>
  <c r="P157" i="6"/>
  <c r="N157" i="6"/>
  <c r="M157" i="6"/>
  <c r="K157" i="6"/>
  <c r="I157" i="6"/>
  <c r="H157" i="6"/>
  <c r="F157" i="6"/>
  <c r="S154" i="6"/>
  <c r="R154" i="6"/>
  <c r="P154" i="6"/>
  <c r="N154" i="6"/>
  <c r="M154" i="6"/>
  <c r="K154" i="6"/>
  <c r="I154" i="6"/>
  <c r="H154" i="6"/>
  <c r="F154" i="6"/>
  <c r="S153" i="6"/>
  <c r="R153" i="6"/>
  <c r="P153" i="6"/>
  <c r="N153" i="6"/>
  <c r="M153" i="6"/>
  <c r="K153" i="6"/>
  <c r="I153" i="6"/>
  <c r="H153" i="6"/>
  <c r="F153" i="6"/>
  <c r="S152" i="6"/>
  <c r="R152" i="6"/>
  <c r="P152" i="6"/>
  <c r="N152" i="6"/>
  <c r="M152" i="6"/>
  <c r="K152" i="6"/>
  <c r="I152" i="6"/>
  <c r="H152" i="6"/>
  <c r="F152" i="6"/>
  <c r="S151" i="6"/>
  <c r="R151" i="6"/>
  <c r="P151" i="6"/>
  <c r="N151" i="6"/>
  <c r="M151" i="6"/>
  <c r="K151" i="6"/>
  <c r="I151" i="6"/>
  <c r="H151" i="6"/>
  <c r="F151" i="6"/>
  <c r="S150" i="6"/>
  <c r="R150" i="6"/>
  <c r="P150" i="6"/>
  <c r="N150" i="6"/>
  <c r="M150" i="6"/>
  <c r="K150" i="6"/>
  <c r="I150" i="6"/>
  <c r="H150" i="6"/>
  <c r="F150" i="6"/>
  <c r="S147" i="6"/>
  <c r="R147" i="6"/>
  <c r="P147" i="6"/>
  <c r="N147" i="6"/>
  <c r="M147" i="6"/>
  <c r="K147" i="6"/>
  <c r="I147" i="6"/>
  <c r="H147" i="6"/>
  <c r="F147" i="6"/>
  <c r="S146" i="6"/>
  <c r="R146" i="6"/>
  <c r="P146" i="6"/>
  <c r="N146" i="6"/>
  <c r="M146" i="6"/>
  <c r="K146" i="6"/>
  <c r="I146" i="6"/>
  <c r="H146" i="6"/>
  <c r="F146" i="6"/>
  <c r="S145" i="6"/>
  <c r="R145" i="6"/>
  <c r="P145" i="6"/>
  <c r="N145" i="6"/>
  <c r="M145" i="6"/>
  <c r="K145" i="6"/>
  <c r="I145" i="6"/>
  <c r="H145" i="6"/>
  <c r="F145" i="6"/>
  <c r="S144" i="6"/>
  <c r="R144" i="6"/>
  <c r="P144" i="6"/>
  <c r="N144" i="6"/>
  <c r="M144" i="6"/>
  <c r="K144" i="6"/>
  <c r="I144" i="6"/>
  <c r="H144" i="6"/>
  <c r="F144" i="6"/>
  <c r="S143" i="6"/>
  <c r="R143" i="6"/>
  <c r="P143" i="6"/>
  <c r="N143" i="6"/>
  <c r="M143" i="6"/>
  <c r="K143" i="6"/>
  <c r="I143" i="6"/>
  <c r="H143" i="6"/>
  <c r="F143" i="6"/>
  <c r="S136" i="6"/>
  <c r="R136" i="6"/>
  <c r="P136" i="6"/>
  <c r="N136" i="6"/>
  <c r="M136" i="6"/>
  <c r="K136" i="6"/>
  <c r="I136" i="6"/>
  <c r="H136" i="6"/>
  <c r="F136" i="6"/>
  <c r="S135" i="6"/>
  <c r="R135" i="6"/>
  <c r="P135" i="6"/>
  <c r="N135" i="6"/>
  <c r="M135" i="6"/>
  <c r="K135" i="6"/>
  <c r="I135" i="6"/>
  <c r="H135" i="6"/>
  <c r="F135" i="6"/>
  <c r="S134" i="6"/>
  <c r="R134" i="6"/>
  <c r="P134" i="6"/>
  <c r="N134" i="6"/>
  <c r="M134" i="6"/>
  <c r="K134" i="6"/>
  <c r="I134" i="6"/>
  <c r="H134" i="6"/>
  <c r="F134" i="6"/>
  <c r="S133" i="6"/>
  <c r="R133" i="6"/>
  <c r="P133" i="6"/>
  <c r="N133" i="6"/>
  <c r="M133" i="6"/>
  <c r="K133" i="6"/>
  <c r="I133" i="6"/>
  <c r="H133" i="6"/>
  <c r="F133" i="6"/>
  <c r="S114" i="6"/>
  <c r="U114" i="6" s="1"/>
  <c r="R114" i="6"/>
  <c r="P114" i="6"/>
  <c r="M114" i="6"/>
  <c r="H114" i="6"/>
  <c r="S112" i="6"/>
  <c r="R112" i="6"/>
  <c r="P112" i="6"/>
  <c r="N112" i="6"/>
  <c r="M112" i="6"/>
  <c r="K112" i="6"/>
  <c r="I112" i="6"/>
  <c r="H112" i="6"/>
  <c r="F112" i="6"/>
  <c r="S111" i="6"/>
  <c r="R111" i="6"/>
  <c r="P111" i="6"/>
  <c r="N111" i="6"/>
  <c r="M111" i="6"/>
  <c r="K111" i="6"/>
  <c r="I111" i="6"/>
  <c r="H111" i="6"/>
  <c r="F111" i="6"/>
  <c r="S110" i="6"/>
  <c r="R110" i="6"/>
  <c r="P110" i="6"/>
  <c r="N110" i="6"/>
  <c r="M110" i="6"/>
  <c r="K110" i="6"/>
  <c r="I110" i="6"/>
  <c r="H110" i="6"/>
  <c r="F110" i="6"/>
  <c r="S109" i="6"/>
  <c r="R109" i="6"/>
  <c r="P109" i="6"/>
  <c r="N109" i="6"/>
  <c r="M109" i="6"/>
  <c r="K109" i="6"/>
  <c r="I109" i="6"/>
  <c r="H109" i="6"/>
  <c r="F109" i="6"/>
  <c r="S108" i="6"/>
  <c r="R108" i="6"/>
  <c r="P108" i="6"/>
  <c r="N108" i="6"/>
  <c r="M108" i="6"/>
  <c r="K108" i="6"/>
  <c r="I108" i="6"/>
  <c r="H108" i="6"/>
  <c r="F108" i="6"/>
  <c r="S89" i="6"/>
  <c r="R89" i="6"/>
  <c r="P89" i="6"/>
  <c r="N89" i="6"/>
  <c r="M89" i="6"/>
  <c r="K89" i="6"/>
  <c r="I89" i="6"/>
  <c r="H89" i="6"/>
  <c r="F89" i="6"/>
  <c r="S85" i="6"/>
  <c r="R85" i="6"/>
  <c r="P85" i="6"/>
  <c r="N85" i="6"/>
  <c r="M85" i="6"/>
  <c r="K85" i="6"/>
  <c r="I85" i="6"/>
  <c r="H85" i="6"/>
  <c r="F85" i="6"/>
  <c r="S84" i="6"/>
  <c r="R84" i="6"/>
  <c r="P84" i="6"/>
  <c r="N84" i="6"/>
  <c r="M84" i="6"/>
  <c r="K84" i="6"/>
  <c r="I84" i="6"/>
  <c r="H84" i="6"/>
  <c r="F84" i="6"/>
  <c r="S83" i="6"/>
  <c r="R83" i="6"/>
  <c r="P83" i="6"/>
  <c r="N83" i="6"/>
  <c r="M83" i="6"/>
  <c r="K83" i="6"/>
  <c r="I83" i="6"/>
  <c r="H83" i="6"/>
  <c r="F83" i="6"/>
  <c r="S82" i="6"/>
  <c r="R82" i="6"/>
  <c r="P82" i="6"/>
  <c r="N82" i="6"/>
  <c r="M82" i="6"/>
  <c r="K82" i="6"/>
  <c r="I82" i="6"/>
  <c r="H82" i="6"/>
  <c r="F82" i="6"/>
  <c r="S76" i="6"/>
  <c r="R76" i="6"/>
  <c r="P76" i="6"/>
  <c r="N76" i="6"/>
  <c r="M76" i="6"/>
  <c r="K76" i="6"/>
  <c r="I76" i="6"/>
  <c r="H76" i="6"/>
  <c r="F76" i="6"/>
  <c r="S72" i="6"/>
  <c r="R72" i="6"/>
  <c r="P72" i="6"/>
  <c r="N72" i="6"/>
  <c r="M72" i="6"/>
  <c r="K72" i="6"/>
  <c r="I72" i="6"/>
  <c r="H72" i="6"/>
  <c r="F72" i="6"/>
  <c r="S71" i="6"/>
  <c r="R71" i="6"/>
  <c r="P71" i="6"/>
  <c r="N71" i="6"/>
  <c r="M71" i="6"/>
  <c r="K71" i="6"/>
  <c r="I71" i="6"/>
  <c r="H71" i="6"/>
  <c r="F71" i="6"/>
  <c r="S70" i="6"/>
  <c r="R70" i="6"/>
  <c r="P70" i="6"/>
  <c r="N70" i="6"/>
  <c r="M70" i="6"/>
  <c r="K70" i="6"/>
  <c r="I70" i="6"/>
  <c r="H70" i="6"/>
  <c r="F70" i="6"/>
  <c r="S69" i="6"/>
  <c r="R69" i="6"/>
  <c r="P69" i="6"/>
  <c r="N69" i="6"/>
  <c r="M69" i="6"/>
  <c r="K69" i="6"/>
  <c r="I69" i="6"/>
  <c r="H69" i="6"/>
  <c r="F69" i="6"/>
  <c r="S66" i="6"/>
  <c r="R66" i="6"/>
  <c r="P66" i="6"/>
  <c r="N66" i="6"/>
  <c r="M66" i="6"/>
  <c r="K66" i="6"/>
  <c r="I66" i="6"/>
  <c r="H66" i="6"/>
  <c r="F66" i="6"/>
  <c r="S63" i="6"/>
  <c r="R63" i="6"/>
  <c r="P63" i="6"/>
  <c r="N63" i="6"/>
  <c r="M63" i="6"/>
  <c r="K63" i="6"/>
  <c r="I63" i="6"/>
  <c r="H63" i="6"/>
  <c r="F63" i="6"/>
  <c r="S60" i="6"/>
  <c r="R60" i="6"/>
  <c r="P60" i="6"/>
  <c r="N60" i="6"/>
  <c r="M60" i="6"/>
  <c r="K60" i="6"/>
  <c r="I60" i="6"/>
  <c r="H60" i="6"/>
  <c r="F60" i="6"/>
  <c r="S59" i="6"/>
  <c r="R59" i="6"/>
  <c r="P59" i="6"/>
  <c r="N59" i="6"/>
  <c r="M59" i="6"/>
  <c r="K59" i="6"/>
  <c r="I59" i="6"/>
  <c r="H59" i="6"/>
  <c r="F59" i="6"/>
  <c r="S58" i="6"/>
  <c r="R58" i="6"/>
  <c r="P58" i="6"/>
  <c r="N58" i="6"/>
  <c r="M58" i="6"/>
  <c r="K58" i="6"/>
  <c r="I58" i="6"/>
  <c r="H58" i="6"/>
  <c r="F58" i="6"/>
  <c r="S57" i="6"/>
  <c r="R57" i="6"/>
  <c r="P57" i="6"/>
  <c r="N57" i="6"/>
  <c r="M57" i="6"/>
  <c r="K57" i="6"/>
  <c r="I57" i="6"/>
  <c r="H57" i="6"/>
  <c r="F57" i="6"/>
  <c r="S56" i="6"/>
  <c r="R56" i="6"/>
  <c r="P56" i="6"/>
  <c r="N56" i="6"/>
  <c r="M56" i="6"/>
  <c r="K56" i="6"/>
  <c r="I56" i="6"/>
  <c r="H56" i="6"/>
  <c r="F56" i="6"/>
  <c r="S55" i="6"/>
  <c r="R55" i="6"/>
  <c r="P55" i="6"/>
  <c r="N55" i="6"/>
  <c r="M55" i="6"/>
  <c r="K55" i="6"/>
  <c r="I55" i="6"/>
  <c r="H55" i="6"/>
  <c r="F55" i="6"/>
  <c r="S54" i="6"/>
  <c r="R54" i="6"/>
  <c r="P54" i="6"/>
  <c r="N54" i="6"/>
  <c r="M54" i="6"/>
  <c r="K54" i="6"/>
  <c r="I54" i="6"/>
  <c r="H54" i="6"/>
  <c r="F54" i="6"/>
  <c r="S51" i="6"/>
  <c r="R51" i="6"/>
  <c r="P51" i="6"/>
  <c r="N51" i="6"/>
  <c r="M51" i="6"/>
  <c r="K51" i="6"/>
  <c r="I51" i="6"/>
  <c r="H51" i="6"/>
  <c r="F51" i="6"/>
  <c r="S48" i="6"/>
  <c r="R48" i="6"/>
  <c r="P48" i="6"/>
  <c r="N48" i="6"/>
  <c r="M48" i="6"/>
  <c r="K48" i="6"/>
  <c r="I48" i="6"/>
  <c r="H48" i="6"/>
  <c r="F48" i="6"/>
  <c r="S47" i="6"/>
  <c r="R47" i="6"/>
  <c r="P47" i="6"/>
  <c r="N47" i="6"/>
  <c r="M47" i="6"/>
  <c r="K47" i="6"/>
  <c r="I47" i="6"/>
  <c r="H47" i="6"/>
  <c r="F47" i="6"/>
  <c r="S46" i="6"/>
  <c r="R46" i="6"/>
  <c r="P46" i="6"/>
  <c r="N46" i="6"/>
  <c r="M46" i="6"/>
  <c r="K46" i="6"/>
  <c r="I46" i="6"/>
  <c r="H46" i="6"/>
  <c r="F46" i="6"/>
  <c r="S45" i="6"/>
  <c r="R45" i="6"/>
  <c r="P45" i="6"/>
  <c r="N45" i="6"/>
  <c r="M45" i="6"/>
  <c r="K45" i="6"/>
  <c r="I45" i="6"/>
  <c r="H45" i="6"/>
  <c r="F45" i="6"/>
  <c r="S44" i="6"/>
  <c r="R44" i="6"/>
  <c r="P44" i="6"/>
  <c r="N44" i="6"/>
  <c r="M44" i="6"/>
  <c r="K44" i="6"/>
  <c r="I44" i="6"/>
  <c r="H44" i="6"/>
  <c r="F44" i="6"/>
  <c r="S43" i="6"/>
  <c r="R43" i="6"/>
  <c r="P43" i="6"/>
  <c r="N43" i="6"/>
  <c r="M43" i="6"/>
  <c r="K43" i="6"/>
  <c r="I43" i="6"/>
  <c r="H43" i="6"/>
  <c r="F43" i="6"/>
  <c r="S42" i="6"/>
  <c r="R42" i="6"/>
  <c r="P42" i="6"/>
  <c r="N42" i="6"/>
  <c r="M42" i="6"/>
  <c r="K42" i="6"/>
  <c r="I42" i="6"/>
  <c r="H42" i="6"/>
  <c r="F42" i="6"/>
  <c r="S39" i="6"/>
  <c r="R39" i="6"/>
  <c r="P39" i="6"/>
  <c r="N39" i="6"/>
  <c r="M39" i="6"/>
  <c r="K39" i="6"/>
  <c r="I39" i="6"/>
  <c r="H39" i="6"/>
  <c r="F39" i="6"/>
  <c r="S36" i="6"/>
  <c r="R36" i="6"/>
  <c r="P36" i="6"/>
  <c r="N36" i="6"/>
  <c r="M36" i="6"/>
  <c r="K36" i="6"/>
  <c r="I36" i="6"/>
  <c r="H36" i="6"/>
  <c r="F36" i="6"/>
  <c r="S35" i="6"/>
  <c r="R35" i="6"/>
  <c r="P35" i="6"/>
  <c r="N35" i="6"/>
  <c r="M35" i="6"/>
  <c r="K35" i="6"/>
  <c r="I35" i="6"/>
  <c r="H35" i="6"/>
  <c r="F35" i="6"/>
  <c r="S34" i="6"/>
  <c r="R34" i="6"/>
  <c r="P34" i="6"/>
  <c r="N34" i="6"/>
  <c r="M34" i="6"/>
  <c r="K34" i="6"/>
  <c r="I34" i="6"/>
  <c r="H34" i="6"/>
  <c r="F34" i="6"/>
  <c r="S33" i="6"/>
  <c r="R33" i="6"/>
  <c r="P33" i="6"/>
  <c r="N33" i="6"/>
  <c r="M33" i="6"/>
  <c r="K33" i="6"/>
  <c r="I33" i="6"/>
  <c r="H33" i="6"/>
  <c r="F33" i="6"/>
  <c r="S32" i="6"/>
  <c r="R32" i="6"/>
  <c r="P32" i="6"/>
  <c r="N32" i="6"/>
  <c r="M32" i="6"/>
  <c r="K32" i="6"/>
  <c r="I32" i="6"/>
  <c r="H32" i="6"/>
  <c r="F32" i="6"/>
  <c r="S31" i="6"/>
  <c r="R31" i="6"/>
  <c r="P31" i="6"/>
  <c r="N31" i="6"/>
  <c r="M31" i="6"/>
  <c r="K31" i="6"/>
  <c r="I31" i="6"/>
  <c r="H31" i="6"/>
  <c r="F31" i="6"/>
  <c r="S30" i="6"/>
  <c r="R30" i="6"/>
  <c r="P30" i="6"/>
  <c r="N30" i="6"/>
  <c r="M30" i="6"/>
  <c r="K30" i="6"/>
  <c r="I30" i="6"/>
  <c r="H30" i="6"/>
  <c r="F30" i="6"/>
  <c r="S27" i="6"/>
  <c r="R27" i="6"/>
  <c r="P27" i="6"/>
  <c r="N27" i="6"/>
  <c r="M27" i="6"/>
  <c r="K27" i="6"/>
  <c r="I27" i="6"/>
  <c r="H27" i="6"/>
  <c r="F27" i="6"/>
  <c r="S24" i="6"/>
  <c r="R24" i="6"/>
  <c r="P24" i="6"/>
  <c r="N24" i="6"/>
  <c r="M24" i="6"/>
  <c r="K24" i="6"/>
  <c r="I24" i="6"/>
  <c r="H24" i="6"/>
  <c r="F24" i="6"/>
  <c r="S23" i="6"/>
  <c r="R23" i="6"/>
  <c r="P23" i="6"/>
  <c r="N23" i="6"/>
  <c r="M23" i="6"/>
  <c r="K23" i="6"/>
  <c r="I23" i="6"/>
  <c r="H23" i="6"/>
  <c r="F23" i="6"/>
  <c r="S22" i="6"/>
  <c r="R22" i="6"/>
  <c r="P22" i="6"/>
  <c r="N22" i="6"/>
  <c r="M22" i="6"/>
  <c r="K22" i="6"/>
  <c r="I22" i="6"/>
  <c r="H22" i="6"/>
  <c r="F22" i="6"/>
  <c r="S21" i="6"/>
  <c r="R21" i="6"/>
  <c r="P21" i="6"/>
  <c r="N21" i="6"/>
  <c r="M21" i="6"/>
  <c r="K21" i="6"/>
  <c r="I21" i="6"/>
  <c r="H21" i="6"/>
  <c r="F21" i="6"/>
  <c r="S20" i="6"/>
  <c r="R20" i="6"/>
  <c r="P20" i="6"/>
  <c r="N20" i="6"/>
  <c r="M20" i="6"/>
  <c r="K20" i="6"/>
  <c r="I20" i="6"/>
  <c r="H20" i="6"/>
  <c r="F20" i="6"/>
  <c r="S19" i="6"/>
  <c r="R19" i="6"/>
  <c r="P19" i="6"/>
  <c r="N19" i="6"/>
  <c r="M19" i="6"/>
  <c r="K19" i="6"/>
  <c r="I19" i="6"/>
  <c r="H19" i="6"/>
  <c r="F19" i="6"/>
  <c r="S18" i="6"/>
  <c r="R18" i="6"/>
  <c r="P18" i="6"/>
  <c r="N18" i="6"/>
  <c r="M18" i="6"/>
  <c r="K18" i="6"/>
  <c r="I18" i="6"/>
  <c r="H18" i="6"/>
  <c r="F18" i="6"/>
  <c r="S15" i="6"/>
  <c r="R15" i="6"/>
  <c r="P15" i="6"/>
  <c r="N15" i="6"/>
  <c r="M15" i="6"/>
  <c r="K15" i="6"/>
  <c r="I15" i="6"/>
  <c r="H15" i="6"/>
  <c r="S12" i="6"/>
  <c r="R12" i="6"/>
  <c r="P12" i="6"/>
  <c r="N12" i="6"/>
  <c r="M12" i="6"/>
  <c r="K12" i="6"/>
  <c r="I12" i="6"/>
  <c r="H12" i="6"/>
  <c r="S11" i="6"/>
  <c r="R11" i="6"/>
  <c r="P11" i="6"/>
  <c r="N11" i="6"/>
  <c r="M11" i="6"/>
  <c r="K11" i="6"/>
  <c r="I11" i="6"/>
  <c r="H11" i="6"/>
  <c r="S10" i="6"/>
  <c r="R10" i="6"/>
  <c r="P10" i="6"/>
  <c r="N10" i="6"/>
  <c r="M10" i="6"/>
  <c r="K10" i="6"/>
  <c r="I10" i="6"/>
  <c r="H10" i="6"/>
  <c r="S9" i="6"/>
  <c r="R9" i="6"/>
  <c r="P9" i="6"/>
  <c r="N9" i="6"/>
  <c r="M9" i="6"/>
  <c r="K9" i="6"/>
  <c r="I9" i="6"/>
  <c r="H9" i="6"/>
  <c r="S8" i="6"/>
  <c r="R8" i="6"/>
  <c r="P8" i="6"/>
  <c r="N8" i="6"/>
  <c r="M8" i="6"/>
  <c r="K8" i="6"/>
  <c r="I8" i="6"/>
  <c r="H8" i="6"/>
  <c r="S7" i="6"/>
  <c r="R7" i="6"/>
  <c r="P7" i="6"/>
  <c r="N7" i="6"/>
  <c r="M7" i="6"/>
  <c r="K7" i="6"/>
  <c r="I7" i="6"/>
  <c r="H7" i="6"/>
  <c r="S6" i="6"/>
  <c r="R6" i="6"/>
  <c r="P6" i="6"/>
  <c r="N6" i="6"/>
  <c r="M6" i="6"/>
  <c r="K6" i="6"/>
  <c r="I6" i="6"/>
  <c r="H6" i="6"/>
  <c r="U128" i="6" l="1"/>
  <c r="F77" i="6"/>
  <c r="F90" i="6"/>
  <c r="U24" i="6"/>
  <c r="U178" i="6"/>
  <c r="N200" i="6"/>
  <c r="U214" i="6"/>
  <c r="H40" i="6"/>
  <c r="H182" i="6"/>
  <c r="U23" i="6"/>
  <c r="H141" i="6"/>
  <c r="H217" i="6"/>
  <c r="U55" i="6"/>
  <c r="K28" i="6"/>
  <c r="I182" i="6"/>
  <c r="U103" i="6"/>
  <c r="I77" i="6"/>
  <c r="N77" i="6"/>
  <c r="F191" i="6"/>
  <c r="U194" i="6"/>
  <c r="M200" i="6"/>
  <c r="F209" i="6"/>
  <c r="F217" i="6"/>
  <c r="K182" i="6"/>
  <c r="U85" i="6"/>
  <c r="M173" i="6"/>
  <c r="M182" i="6"/>
  <c r="F40" i="6"/>
  <c r="U89" i="6"/>
  <c r="P200" i="6"/>
  <c r="M209" i="6"/>
  <c r="H28" i="6"/>
  <c r="R64" i="6"/>
  <c r="U206" i="6"/>
  <c r="S173" i="6"/>
  <c r="R200" i="6"/>
  <c r="U36" i="6"/>
  <c r="S191" i="6"/>
  <c r="S200" i="6"/>
  <c r="H209" i="6"/>
  <c r="R173" i="6"/>
  <c r="R52" i="6"/>
  <c r="M28" i="6"/>
  <c r="F52" i="6"/>
  <c r="P173" i="6"/>
  <c r="U157" i="6"/>
  <c r="H64" i="6"/>
  <c r="F182" i="6"/>
  <c r="U179" i="6"/>
  <c r="P90" i="6"/>
  <c r="S64" i="6"/>
  <c r="N115" i="6"/>
  <c r="N90" i="6"/>
  <c r="K90" i="6"/>
  <c r="U153" i="6"/>
  <c r="N173" i="6"/>
  <c r="K209" i="6"/>
  <c r="K40" i="6"/>
  <c r="F141" i="6"/>
  <c r="I141" i="6"/>
  <c r="M115" i="6"/>
  <c r="H90" i="6"/>
  <c r="U54" i="6"/>
  <c r="P64" i="6"/>
  <c r="K77" i="6"/>
  <c r="P77" i="6"/>
  <c r="R77" i="6"/>
  <c r="M77" i="6"/>
  <c r="U69" i="6"/>
  <c r="P16" i="6"/>
  <c r="N16" i="6"/>
  <c r="K16" i="6"/>
  <c r="M16" i="6"/>
  <c r="S90" i="6"/>
  <c r="R115" i="6"/>
  <c r="U136" i="6"/>
  <c r="U166" i="6"/>
  <c r="N209" i="6"/>
  <c r="K217" i="6"/>
  <c r="N217" i="6"/>
  <c r="P28" i="6"/>
  <c r="U22" i="6"/>
  <c r="S40" i="6"/>
  <c r="M64" i="6"/>
  <c r="R182" i="6"/>
  <c r="S209" i="6"/>
  <c r="U205" i="6"/>
  <c r="P217" i="6"/>
  <c r="R16" i="6"/>
  <c r="R28" i="6"/>
  <c r="N64" i="6"/>
  <c r="M141" i="6"/>
  <c r="U134" i="6"/>
  <c r="K155" i="6"/>
  <c r="R164" i="6"/>
  <c r="S182" i="6"/>
  <c r="K191" i="6"/>
  <c r="R191" i="6"/>
  <c r="P115" i="6"/>
  <c r="P40" i="6"/>
  <c r="U147" i="6"/>
  <c r="S164" i="6"/>
  <c r="U213" i="6"/>
  <c r="N28" i="6"/>
  <c r="R40" i="6"/>
  <c r="K64" i="6"/>
  <c r="K173" i="6"/>
  <c r="U197" i="6"/>
  <c r="R217" i="6"/>
  <c r="U15" i="6"/>
  <c r="U19" i="6"/>
  <c r="U27" i="6"/>
  <c r="S52" i="6"/>
  <c r="U56" i="6"/>
  <c r="K141" i="6"/>
  <c r="P155" i="6"/>
  <c r="U167" i="6"/>
  <c r="U6" i="6"/>
  <c r="U9" i="6"/>
  <c r="U12" i="6"/>
  <c r="S28" i="6"/>
  <c r="U45" i="6"/>
  <c r="U63" i="6"/>
  <c r="S77" i="6"/>
  <c r="N141" i="6"/>
  <c r="M155" i="6"/>
  <c r="M191" i="6"/>
  <c r="S217" i="6"/>
  <c r="U108" i="6"/>
  <c r="N182" i="6"/>
  <c r="P209" i="6"/>
  <c r="M217" i="6"/>
  <c r="U135" i="6"/>
  <c r="P182" i="6"/>
  <c r="R209" i="6"/>
  <c r="K52" i="6"/>
  <c r="P141" i="6"/>
  <c r="U8" i="6"/>
  <c r="U39" i="6"/>
  <c r="M52" i="6"/>
  <c r="U66" i="6"/>
  <c r="R141" i="6"/>
  <c r="S155" i="6"/>
  <c r="U154" i="6"/>
  <c r="M164" i="6"/>
  <c r="P164" i="6"/>
  <c r="P191" i="6"/>
  <c r="P52" i="6"/>
  <c r="M40" i="6"/>
  <c r="R90" i="6"/>
  <c r="U31" i="6"/>
  <c r="K200" i="6"/>
  <c r="K164" i="6"/>
  <c r="N191" i="6"/>
  <c r="N52" i="6"/>
  <c r="M90" i="6"/>
  <c r="K115" i="6"/>
  <c r="S141" i="6"/>
  <c r="R155" i="6"/>
  <c r="N164" i="6"/>
  <c r="U44" i="6"/>
  <c r="H155" i="6"/>
  <c r="H191" i="6"/>
  <c r="H173" i="6"/>
  <c r="H16" i="6"/>
  <c r="I90" i="6"/>
  <c r="U185" i="6"/>
  <c r="U196" i="6"/>
  <c r="U60" i="6"/>
  <c r="U186" i="6"/>
  <c r="I40" i="6"/>
  <c r="U33" i="6"/>
  <c r="H52" i="6"/>
  <c r="H200" i="6"/>
  <c r="U84" i="6"/>
  <c r="U32" i="6"/>
  <c r="H77" i="6"/>
  <c r="I28" i="6"/>
  <c r="U195" i="6"/>
  <c r="H164" i="6"/>
  <c r="H115" i="6"/>
  <c r="U7" i="6"/>
  <c r="U20" i="6"/>
  <c r="U150" i="6"/>
  <c r="U158" i="6"/>
  <c r="U184" i="6"/>
  <c r="I209" i="6"/>
  <c r="I52" i="6"/>
  <c r="I217" i="6"/>
  <c r="I16" i="6"/>
  <c r="U212" i="6"/>
  <c r="F28" i="6"/>
  <c r="I200" i="6"/>
  <c r="U30" i="6"/>
  <c r="U146" i="6"/>
  <c r="F155" i="6"/>
  <c r="U43" i="6"/>
  <c r="U51" i="6"/>
  <c r="U58" i="6"/>
  <c r="U83" i="6"/>
  <c r="U112" i="6"/>
  <c r="U177" i="6"/>
  <c r="U11" i="6"/>
  <c r="U59" i="6"/>
  <c r="F115" i="6"/>
  <c r="U76" i="6"/>
  <c r="U133" i="6"/>
  <c r="I155" i="6"/>
  <c r="U42" i="6"/>
  <c r="U48" i="6"/>
  <c r="U71" i="6"/>
  <c r="U82" i="6"/>
  <c r="I115" i="6"/>
  <c r="U111" i="6"/>
  <c r="F173" i="6"/>
  <c r="U176" i="6"/>
  <c r="U211" i="6"/>
  <c r="U35" i="6"/>
  <c r="F64" i="6"/>
  <c r="U72" i="6"/>
  <c r="U109" i="6"/>
  <c r="U145" i="6"/>
  <c r="U152" i="6"/>
  <c r="F164" i="6"/>
  <c r="U161" i="6"/>
  <c r="U170" i="6"/>
  <c r="U188" i="6"/>
  <c r="U193" i="6"/>
  <c r="U204" i="6"/>
  <c r="U47" i="6"/>
  <c r="U110" i="6"/>
  <c r="U143" i="6"/>
  <c r="U159" i="6"/>
  <c r="I173" i="6"/>
  <c r="U168" i="6"/>
  <c r="U216" i="6"/>
  <c r="U21" i="6"/>
  <c r="U34" i="6"/>
  <c r="U57" i="6"/>
  <c r="U151" i="6"/>
  <c r="I164" i="6"/>
  <c r="U160" i="6"/>
  <c r="U169" i="6"/>
  <c r="I191" i="6"/>
  <c r="U187" i="6"/>
  <c r="F200" i="6"/>
  <c r="U203" i="6"/>
  <c r="U175" i="6"/>
  <c r="U202" i="6"/>
  <c r="U215" i="6"/>
  <c r="S16" i="6"/>
  <c r="U18" i="6"/>
  <c r="U46" i="6"/>
  <c r="N40" i="6"/>
  <c r="S115" i="6"/>
  <c r="N155" i="6"/>
  <c r="I64" i="6"/>
  <c r="U144" i="6"/>
  <c r="U10" i="6"/>
  <c r="U70" i="6"/>
  <c r="S219" i="6" l="1"/>
  <c r="N219" i="6"/>
  <c r="I219" i="6"/>
  <c r="U164" i="6"/>
  <c r="U173" i="6"/>
  <c r="U90" i="6"/>
  <c r="U115" i="6"/>
  <c r="U200" i="6"/>
  <c r="U40" i="6"/>
  <c r="U52" i="6"/>
  <c r="U28" i="6"/>
  <c r="U217" i="6"/>
  <c r="U16" i="6"/>
  <c r="U155" i="6"/>
  <c r="U64" i="6"/>
  <c r="U191" i="6"/>
  <c r="U209" i="6"/>
  <c r="U182" i="6"/>
  <c r="U77" i="6"/>
  <c r="U141" i="6"/>
  <c r="U219" i="6" l="1"/>
</calcChain>
</file>

<file path=xl/sharedStrings.xml><?xml version="1.0" encoding="utf-8"?>
<sst xmlns="http://schemas.openxmlformats.org/spreadsheetml/2006/main" count="244" uniqueCount="66">
  <si>
    <t>שם המסעדה</t>
  </si>
  <si>
    <t>כמות</t>
  </si>
  <si>
    <t>מחיר</t>
  </si>
  <si>
    <t>מספר</t>
  </si>
  <si>
    <t>סה"כ</t>
  </si>
  <si>
    <t xml:space="preserve">סה"כ </t>
  </si>
  <si>
    <t>בגליל</t>
  </si>
  <si>
    <t>לגליל</t>
  </si>
  <si>
    <t>חשבונית</t>
  </si>
  <si>
    <t>לרבעון</t>
  </si>
  <si>
    <t>סוג מדבקה</t>
  </si>
  <si>
    <t>תאריך</t>
  </si>
  <si>
    <t xml:space="preserve">מינה טומאיי קסטרא </t>
  </si>
  <si>
    <t>SPICE IT UP</t>
  </si>
  <si>
    <t>חבק</t>
  </si>
  <si>
    <t>PEANUTS בוטנים</t>
  </si>
  <si>
    <t>STEAMED BUNS לחמניות מאודות</t>
  </si>
  <si>
    <t>מדבקות למדפסת משלוחים</t>
  </si>
  <si>
    <t>מדבקה לשקית משלוחים</t>
  </si>
  <si>
    <t>רדיד דיו למדפסת מקרר</t>
  </si>
  <si>
    <t xml:space="preserve">מדבקות למקרר PVC ניתן להסרה </t>
  </si>
  <si>
    <t>מינה טומאיי קריון</t>
  </si>
  <si>
    <t>מינה טומאיי שרונה</t>
  </si>
  <si>
    <t>מינה טומאיי עין שמר</t>
  </si>
  <si>
    <t>מינה טומאיי יהוד</t>
  </si>
  <si>
    <t>קינג קונג ביג קריות</t>
  </si>
  <si>
    <t>קינג קונג חורב</t>
  </si>
  <si>
    <t>קינג קונג רעננה</t>
  </si>
  <si>
    <t>קינג קונג כרמיאל</t>
  </si>
  <si>
    <t>פינוק מכל הלב</t>
  </si>
  <si>
    <t>לפני הביס</t>
  </si>
  <si>
    <t>פט ויני רגבה</t>
  </si>
  <si>
    <t>פט ויני כרמיאל</t>
  </si>
  <si>
    <t>פט ויני נתניה</t>
  </si>
  <si>
    <t>פט ויני חדרה</t>
  </si>
  <si>
    <t>פט ויני ביג קרית אתא</t>
  </si>
  <si>
    <t>פט ויני יהוד</t>
  </si>
  <si>
    <t>נתנזון (פט ויני עזריאלי)</t>
  </si>
  <si>
    <t>רוטב קוטר 40 SPICY MAYO</t>
  </si>
  <si>
    <t>רוטב קוטר 40 SAUCES</t>
  </si>
  <si>
    <t>מדבקות לוגו פלאסטיק קוטר 80 לבן</t>
  </si>
  <si>
    <t>מדבקות לוגו פלאסטיק קוטר 80 שקוף</t>
  </si>
  <si>
    <t>סה"כ כללי</t>
  </si>
  <si>
    <t>ס"כ לח-ן</t>
  </si>
  <si>
    <t>מדבקה למועדון לקוחות QR קוטר 80</t>
  </si>
  <si>
    <t>פט ויני עזריאלי / נתנזון</t>
  </si>
  <si>
    <t>נתנזון - רוטב קוטר 40 SAUCES</t>
  </si>
  <si>
    <t>נתנזון - רוטב קוטר 40 SPICY MAYO</t>
  </si>
  <si>
    <t>נתנזון - מדבקות למדפסת משלוחים</t>
  </si>
  <si>
    <t>נתנזון - המבורגר פלאסטיק קוטר 80 לבן</t>
  </si>
  <si>
    <t>נתנזון - המבורגר פלאסטיק קוטר 80 שקוף</t>
  </si>
  <si>
    <t>קינג קונג נהריה - געתון</t>
  </si>
  <si>
    <t>רדיד דיו למדפסת מקרר - 10 יח'</t>
  </si>
  <si>
    <t>סושי בוקס</t>
  </si>
  <si>
    <t>רדיד דיו למדפסת מקרר 10 יחידות</t>
  </si>
  <si>
    <t>קינג קונג חדרה</t>
  </si>
  <si>
    <t>פינוק קטן מאיתנו</t>
  </si>
  <si>
    <t>מדבקות פינוק</t>
  </si>
  <si>
    <t>אוקטובר</t>
  </si>
  <si>
    <t>נובמבר</t>
  </si>
  <si>
    <t>דצמבר</t>
  </si>
  <si>
    <t>מדבקות כיסוי מרק קוטר 8</t>
  </si>
  <si>
    <t>רוטב סאצ'י</t>
  </si>
  <si>
    <t>רוטב ביף קראנץ'</t>
  </si>
  <si>
    <t>רוטב גומא</t>
  </si>
  <si>
    <t>2377-2387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</si>
</sst>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;@"/>
  </numFmts>
  <fonts count="6" x14ac:knownFonts="1"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4"/>
      <color theme="1"/>
      <name val="Arial"/>
      <family val="2"/>
      <charset val="177"/>
      <scheme val="minor"/>
    </font>
    <font>
      <sz val="11"/>
      <color rgb="FFC00000"/>
      <name val="Arial"/>
      <family val="2"/>
      <charset val="177"/>
      <scheme val="minor"/>
    </font>
    <font>
      <sz val="11"/>
      <name val="Arial"/>
      <family val="2"/>
      <charset val="177"/>
      <scheme val="minor"/>
    </font>
    <font>
      <sz val="9"/>
      <color rgb="FFC00000"/>
      <name val="Arial"/>
      <family val="2"/>
      <charset val="177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3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3" fontId="1" fillId="3" borderId="2" xfId="0" applyNumberFormat="1" applyFont="1" applyFill="1" applyBorder="1" applyAlignment="1">
      <alignment horizontal="center"/>
    </xf>
    <xf numFmtId="3" fontId="1" fillId="3" borderId="3" xfId="0" applyNumberFormat="1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17" fontId="1" fillId="3" borderId="3" xfId="0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3" fontId="0" fillId="5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1" fontId="3" fillId="6" borderId="2" xfId="0" applyNumberFormat="1" applyFont="1" applyFill="1" applyBorder="1" applyAlignment="1">
      <alignment horizontal="center"/>
    </xf>
    <xf numFmtId="164" fontId="3" fillId="6" borderId="2" xfId="0" applyNumberFormat="1" applyFon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3" fontId="0" fillId="0" borderId="4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3" fontId="0" fillId="0" borderId="5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4" fontId="0" fillId="7" borderId="8" xfId="0" applyNumberForma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4" fontId="0" fillId="7" borderId="9" xfId="0" applyNumberFormat="1" applyFill="1" applyBorder="1" applyAlignment="1">
      <alignment horizontal="center"/>
    </xf>
    <xf numFmtId="4" fontId="0" fillId="8" borderId="9" xfId="0" applyNumberFormat="1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3" fontId="4" fillId="6" borderId="1" xfId="0" applyNumberFormat="1" applyFont="1" applyFill="1" applyBorder="1" applyAlignment="1">
      <alignment horizontal="center"/>
    </xf>
    <xf numFmtId="17" fontId="4" fillId="6" borderId="2" xfId="0" applyNumberFormat="1" applyFont="1" applyFill="1" applyBorder="1" applyAlignment="1">
      <alignment horizontal="center"/>
    </xf>
    <xf numFmtId="3" fontId="1" fillId="9" borderId="1" xfId="0" applyNumberFormat="1" applyFont="1" applyFill="1" applyBorder="1" applyAlignment="1">
      <alignment horizontal="center"/>
    </xf>
    <xf numFmtId="17" fontId="1" fillId="9" borderId="2" xfId="0" applyNumberFormat="1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9" borderId="2" xfId="0" applyFont="1" applyFill="1" applyBorder="1" applyAlignment="1">
      <alignment horizontal="center"/>
    </xf>
    <xf numFmtId="4" fontId="0" fillId="7" borderId="4" xfId="0" applyNumberFormat="1" applyFill="1" applyBorder="1" applyAlignment="1">
      <alignment horizontal="center"/>
    </xf>
    <xf numFmtId="3" fontId="4" fillId="7" borderId="1" xfId="0" applyNumberFormat="1" applyFont="1" applyFill="1" applyBorder="1" applyAlignment="1">
      <alignment horizontal="center"/>
    </xf>
    <xf numFmtId="3" fontId="4" fillId="7" borderId="2" xfId="0" applyNumberFormat="1" applyFont="1" applyFill="1" applyBorder="1" applyAlignment="1">
      <alignment horizontal="center"/>
    </xf>
    <xf numFmtId="4" fontId="1" fillId="9" borderId="4" xfId="0" applyNumberFormat="1" applyFont="1" applyFill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4" fontId="0" fillId="10" borderId="4" xfId="0" applyNumberFormat="1" applyFill="1" applyBorder="1" applyAlignment="1">
      <alignment horizontal="center"/>
    </xf>
    <xf numFmtId="1" fontId="5" fillId="6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6293-5521-48B1-B249-EFF27286FF81}">
  <dimension ref="A2:U222"/>
  <sheetViews>
    <sheetView rightToLeft="1" tabSelected="1" zoomScaleNormal="100" workbookViewId="0">
      <pane xSplit="1" ySplit="4" topLeftCell="B205" activePane="bottomRight" state="frozen"/>
      <selection pane="topRight" activeCell="B1" sqref="B1"/>
      <selection pane="bottomLeft" activeCell="A6" sqref="A6"/>
      <selection pane="bottomRight" activeCell="O110" sqref="O110"/>
    </sheetView>
  </sheetViews>
  <sheetFormatPr defaultRowHeight="13.8" x14ac:dyDescent="0.25"/>
  <cols>
    <col min="1" max="1" width="4.5" style="3" customWidth="1"/>
    <col min="2" max="2" width="31.59765625" style="3" bestFit="1" customWidth="1"/>
    <col min="3" max="3" width="5.3984375" style="28" bestFit="1" customWidth="1"/>
    <col min="4" max="4" width="6.3984375" style="3" bestFit="1" customWidth="1"/>
    <col min="5" max="5" width="6.8984375" style="28" bestFit="1" customWidth="1"/>
    <col min="6" max="6" width="8.8984375" style="28" bestFit="1" customWidth="1"/>
    <col min="7" max="7" width="6.8984375" style="28" bestFit="1" customWidth="1"/>
    <col min="8" max="8" width="7.8984375" style="28" bestFit="1" customWidth="1"/>
    <col min="9" max="9" width="10.09765625" style="3" bestFit="1" customWidth="1"/>
    <col min="10" max="10" width="6.8984375" style="29" bestFit="1" customWidth="1"/>
    <col min="11" max="11" width="7.8984375" style="29" bestFit="1" customWidth="1"/>
    <col min="12" max="12" width="6.8984375" style="29" bestFit="1" customWidth="1"/>
    <col min="13" max="13" width="7.8984375" style="29" bestFit="1" customWidth="1"/>
    <col min="14" max="14" width="9.796875" style="3" bestFit="1" customWidth="1"/>
    <col min="15" max="15" width="6.8984375" style="29" bestFit="1" customWidth="1"/>
    <col min="16" max="16" width="7.8984375" style="29" bestFit="1" customWidth="1"/>
    <col min="17" max="17" width="6.8984375" style="29" bestFit="1" customWidth="1"/>
    <col min="18" max="18" width="7.8984375" style="29" bestFit="1" customWidth="1"/>
    <col min="19" max="19" width="9.796875" style="3" bestFit="1" customWidth="1"/>
    <col min="20" max="20" width="5.5" style="28" bestFit="1" customWidth="1"/>
    <col min="21" max="21" width="9.8984375" style="3" bestFit="1" customWidth="1"/>
    <col min="22" max="22" width="4" style="3" customWidth="1"/>
    <col min="23" max="16384" width="8.796875" style="3"/>
  </cols>
  <sheetData>
    <row r="2" spans="2:21" x14ac:dyDescent="0.25">
      <c r="B2" s="1" t="s">
        <v>0</v>
      </c>
      <c r="C2" s="1" t="s">
        <v>1</v>
      </c>
      <c r="D2" s="2" t="s">
        <v>2</v>
      </c>
      <c r="E2" s="30" t="s">
        <v>3</v>
      </c>
      <c r="F2" s="30" t="s">
        <v>11</v>
      </c>
      <c r="G2" s="30" t="s">
        <v>3</v>
      </c>
      <c r="H2" s="30" t="s">
        <v>11</v>
      </c>
      <c r="I2" s="32" t="s">
        <v>4</v>
      </c>
      <c r="J2" s="30" t="s">
        <v>3</v>
      </c>
      <c r="K2" s="30" t="s">
        <v>11</v>
      </c>
      <c r="L2" s="30" t="s">
        <v>3</v>
      </c>
      <c r="M2" s="30" t="s">
        <v>11</v>
      </c>
      <c r="N2" s="34" t="s">
        <v>5</v>
      </c>
      <c r="O2" s="30" t="s">
        <v>3</v>
      </c>
      <c r="P2" s="30" t="s">
        <v>11</v>
      </c>
      <c r="Q2" s="30" t="s">
        <v>3</v>
      </c>
      <c r="R2" s="30" t="s">
        <v>11</v>
      </c>
      <c r="S2" s="34" t="s">
        <v>5</v>
      </c>
      <c r="T2" s="37" t="s">
        <v>1</v>
      </c>
      <c r="U2" s="34" t="s">
        <v>4</v>
      </c>
    </row>
    <row r="3" spans="2:21" x14ac:dyDescent="0.25">
      <c r="B3" s="4"/>
      <c r="C3" s="4" t="s">
        <v>6</v>
      </c>
      <c r="D3" s="5" t="s">
        <v>7</v>
      </c>
      <c r="E3" s="31" t="s">
        <v>8</v>
      </c>
      <c r="F3" s="31">
        <v>45931</v>
      </c>
      <c r="G3" s="31" t="s">
        <v>8</v>
      </c>
      <c r="H3" s="31">
        <v>45931</v>
      </c>
      <c r="I3" s="33" t="s">
        <v>58</v>
      </c>
      <c r="J3" s="31" t="s">
        <v>8</v>
      </c>
      <c r="K3" s="31">
        <v>45962</v>
      </c>
      <c r="L3" s="31" t="s">
        <v>8</v>
      </c>
      <c r="M3" s="31">
        <v>45962</v>
      </c>
      <c r="N3" s="33" t="s">
        <v>59</v>
      </c>
      <c r="O3" s="31" t="s">
        <v>8</v>
      </c>
      <c r="P3" s="31">
        <v>45992</v>
      </c>
      <c r="Q3" s="31" t="s">
        <v>8</v>
      </c>
      <c r="R3" s="31">
        <v>45992</v>
      </c>
      <c r="S3" s="33" t="s">
        <v>60</v>
      </c>
      <c r="T3" s="38" t="s">
        <v>9</v>
      </c>
      <c r="U3" s="35" t="s">
        <v>9</v>
      </c>
    </row>
    <row r="4" spans="2:21" x14ac:dyDescent="0.25">
      <c r="B4" s="6" t="s">
        <v>10</v>
      </c>
      <c r="C4" s="7"/>
      <c r="D4" s="8"/>
      <c r="E4" s="9" t="s">
        <v>1</v>
      </c>
      <c r="F4" s="9" t="s">
        <v>43</v>
      </c>
      <c r="G4" s="9" t="s">
        <v>1</v>
      </c>
      <c r="H4" s="9" t="s">
        <v>43</v>
      </c>
      <c r="I4" s="9"/>
      <c r="J4" s="9" t="s">
        <v>1</v>
      </c>
      <c r="K4" s="9" t="s">
        <v>43</v>
      </c>
      <c r="L4" s="9" t="s">
        <v>1</v>
      </c>
      <c r="M4" s="9" t="s">
        <v>43</v>
      </c>
      <c r="N4" s="9"/>
      <c r="O4" s="9" t="s">
        <v>1</v>
      </c>
      <c r="P4" s="9" t="s">
        <v>43</v>
      </c>
      <c r="Q4" s="9" t="s">
        <v>1</v>
      </c>
      <c r="R4" s="9" t="s">
        <v>43</v>
      </c>
      <c r="S4" s="9"/>
      <c r="T4" s="7"/>
      <c r="U4" s="8"/>
    </row>
    <row r="5" spans="2:21" ht="17.399999999999999" x14ac:dyDescent="0.3">
      <c r="B5" s="10" t="s">
        <v>12</v>
      </c>
      <c r="C5" s="11"/>
      <c r="D5" s="12"/>
      <c r="E5" s="13">
        <v>2314</v>
      </c>
      <c r="F5" s="14">
        <v>45945</v>
      </c>
      <c r="G5" s="13"/>
      <c r="H5" s="14"/>
      <c r="I5" s="13"/>
      <c r="J5" s="13">
        <v>2335</v>
      </c>
      <c r="K5" s="14">
        <v>45970</v>
      </c>
      <c r="L5" s="13">
        <v>2349</v>
      </c>
      <c r="M5" s="14">
        <v>45985</v>
      </c>
      <c r="N5" s="15"/>
      <c r="O5" s="13">
        <v>2380</v>
      </c>
      <c r="P5" s="14">
        <v>46009</v>
      </c>
      <c r="Q5" s="13"/>
      <c r="R5" s="14"/>
      <c r="S5" s="15"/>
      <c r="T5" s="15"/>
      <c r="U5" s="15"/>
    </row>
    <row r="6" spans="2:21" s="18" customFormat="1" x14ac:dyDescent="0.25">
      <c r="B6" s="16" t="s">
        <v>13</v>
      </c>
      <c r="C6" s="17">
        <v>1000</v>
      </c>
      <c r="D6" s="16">
        <v>74.22</v>
      </c>
      <c r="E6" s="17"/>
      <c r="F6" s="16">
        <f t="shared" ref="F6:F10" si="0">E6*D6</f>
        <v>0</v>
      </c>
      <c r="G6" s="17"/>
      <c r="H6" s="16">
        <f>G6*D6</f>
        <v>0</v>
      </c>
      <c r="I6" s="36">
        <f>(G6+E6)*D6</f>
        <v>0</v>
      </c>
      <c r="J6" s="17"/>
      <c r="K6" s="16">
        <f>J6*D6</f>
        <v>0</v>
      </c>
      <c r="L6" s="17"/>
      <c r="M6" s="16">
        <f>L6*D6</f>
        <v>0</v>
      </c>
      <c r="N6" s="36">
        <f>(L6+J6)*D6</f>
        <v>0</v>
      </c>
      <c r="O6" s="17"/>
      <c r="P6" s="16">
        <f t="shared" ref="P6:P15" si="1">O6*D6</f>
        <v>0</v>
      </c>
      <c r="Q6" s="17"/>
      <c r="R6" s="16">
        <f t="shared" ref="R6:R15" si="2">Q6*D6</f>
        <v>0</v>
      </c>
      <c r="S6" s="36">
        <f t="shared" ref="S6:S15" si="3">(Q6+O6)*D6</f>
        <v>0</v>
      </c>
      <c r="T6" s="17">
        <f>G6+E6+J6+L6+O6+Q6</f>
        <v>0</v>
      </c>
      <c r="U6" s="39">
        <f>S6+N6+I6</f>
        <v>0</v>
      </c>
    </row>
    <row r="7" spans="2:21" s="18" customFormat="1" x14ac:dyDescent="0.25">
      <c r="B7" s="16" t="s">
        <v>14</v>
      </c>
      <c r="C7" s="17">
        <v>500</v>
      </c>
      <c r="D7" s="16">
        <v>92.8</v>
      </c>
      <c r="E7" s="17">
        <v>25</v>
      </c>
      <c r="F7" s="16">
        <f t="shared" si="0"/>
        <v>2320</v>
      </c>
      <c r="G7" s="17"/>
      <c r="H7" s="16">
        <f>G7*D7</f>
        <v>0</v>
      </c>
      <c r="I7" s="36">
        <f t="shared" ref="I7:I15" si="4">(G7+E7)*D7</f>
        <v>2320</v>
      </c>
      <c r="J7" s="17"/>
      <c r="K7" s="16">
        <f t="shared" ref="K7:K15" si="5">J7*D7</f>
        <v>0</v>
      </c>
      <c r="L7" s="17">
        <v>20</v>
      </c>
      <c r="M7" s="16">
        <f t="shared" ref="M7:M15" si="6">L7*D7</f>
        <v>1856</v>
      </c>
      <c r="N7" s="36">
        <f t="shared" ref="N7:N15" si="7">(L7+J7)*D7</f>
        <v>1856</v>
      </c>
      <c r="O7" s="17">
        <v>10</v>
      </c>
      <c r="P7" s="16">
        <f t="shared" si="1"/>
        <v>928</v>
      </c>
      <c r="Q7" s="17"/>
      <c r="R7" s="16">
        <f t="shared" si="2"/>
        <v>0</v>
      </c>
      <c r="S7" s="36">
        <f t="shared" si="3"/>
        <v>928</v>
      </c>
      <c r="T7" s="17">
        <f t="shared" ref="T7:T15" si="8">G7+E7+J7+L7+O7+Q7</f>
        <v>55</v>
      </c>
      <c r="U7" s="39">
        <f t="shared" ref="U7:U15" si="9">S7+N7+I7</f>
        <v>5104</v>
      </c>
    </row>
    <row r="8" spans="2:21" s="18" customFormat="1" x14ac:dyDescent="0.25">
      <c r="B8" s="16" t="s">
        <v>15</v>
      </c>
      <c r="C8" s="17">
        <v>1000</v>
      </c>
      <c r="D8" s="16">
        <v>74.22</v>
      </c>
      <c r="E8" s="17"/>
      <c r="F8" s="16">
        <f t="shared" si="0"/>
        <v>0</v>
      </c>
      <c r="G8" s="17"/>
      <c r="H8" s="16">
        <f t="shared" ref="H8:H15" si="10">G8*D8</f>
        <v>0</v>
      </c>
      <c r="I8" s="36">
        <f t="shared" si="4"/>
        <v>0</v>
      </c>
      <c r="J8" s="17"/>
      <c r="K8" s="16">
        <f t="shared" si="5"/>
        <v>0</v>
      </c>
      <c r="L8" s="17">
        <v>5</v>
      </c>
      <c r="M8" s="16">
        <f t="shared" si="6"/>
        <v>371.1</v>
      </c>
      <c r="N8" s="36">
        <f t="shared" si="7"/>
        <v>371.1</v>
      </c>
      <c r="O8" s="17"/>
      <c r="P8" s="16">
        <f t="shared" si="1"/>
        <v>0</v>
      </c>
      <c r="Q8" s="17"/>
      <c r="R8" s="16">
        <f t="shared" si="2"/>
        <v>0</v>
      </c>
      <c r="S8" s="36">
        <f t="shared" si="3"/>
        <v>0</v>
      </c>
      <c r="T8" s="17">
        <f t="shared" si="8"/>
        <v>5</v>
      </c>
      <c r="U8" s="39">
        <f t="shared" si="9"/>
        <v>371.1</v>
      </c>
    </row>
    <row r="9" spans="2:21" s="18" customFormat="1" x14ac:dyDescent="0.25">
      <c r="B9" s="16" t="s">
        <v>16</v>
      </c>
      <c r="C9" s="17">
        <v>2000</v>
      </c>
      <c r="D9" s="16">
        <v>701</v>
      </c>
      <c r="E9" s="17"/>
      <c r="F9" s="16">
        <f t="shared" si="0"/>
        <v>0</v>
      </c>
      <c r="G9" s="17"/>
      <c r="H9" s="16">
        <f t="shared" si="10"/>
        <v>0</v>
      </c>
      <c r="I9" s="36">
        <f t="shared" si="4"/>
        <v>0</v>
      </c>
      <c r="J9" s="17"/>
      <c r="K9" s="16">
        <f t="shared" si="5"/>
        <v>0</v>
      </c>
      <c r="L9" s="17"/>
      <c r="M9" s="16">
        <f t="shared" si="6"/>
        <v>0</v>
      </c>
      <c r="N9" s="36">
        <f t="shared" si="7"/>
        <v>0</v>
      </c>
      <c r="O9" s="17"/>
      <c r="P9" s="16">
        <f t="shared" si="1"/>
        <v>0</v>
      </c>
      <c r="Q9" s="17"/>
      <c r="R9" s="16">
        <f t="shared" si="2"/>
        <v>0</v>
      </c>
      <c r="S9" s="36">
        <f t="shared" si="3"/>
        <v>0</v>
      </c>
      <c r="T9" s="17">
        <f t="shared" si="8"/>
        <v>0</v>
      </c>
      <c r="U9" s="39">
        <f t="shared" si="9"/>
        <v>0</v>
      </c>
    </row>
    <row r="10" spans="2:21" s="18" customFormat="1" x14ac:dyDescent="0.25">
      <c r="B10" s="16" t="s">
        <v>17</v>
      </c>
      <c r="C10" s="17">
        <v>500</v>
      </c>
      <c r="D10" s="16">
        <v>33.5</v>
      </c>
      <c r="E10" s="17">
        <v>45</v>
      </c>
      <c r="F10" s="16">
        <f t="shared" si="0"/>
        <v>1507.5</v>
      </c>
      <c r="G10" s="17"/>
      <c r="H10" s="16">
        <f t="shared" si="10"/>
        <v>0</v>
      </c>
      <c r="I10" s="36">
        <f t="shared" si="4"/>
        <v>1507.5</v>
      </c>
      <c r="J10" s="17">
        <v>40</v>
      </c>
      <c r="K10" s="16">
        <f t="shared" si="5"/>
        <v>1340</v>
      </c>
      <c r="L10" s="17">
        <v>30</v>
      </c>
      <c r="M10" s="16">
        <f t="shared" si="6"/>
        <v>1005</v>
      </c>
      <c r="N10" s="36">
        <f t="shared" si="7"/>
        <v>2345</v>
      </c>
      <c r="O10" s="17">
        <v>42</v>
      </c>
      <c r="P10" s="16">
        <f t="shared" si="1"/>
        <v>1407</v>
      </c>
      <c r="Q10" s="17"/>
      <c r="R10" s="16">
        <f t="shared" si="2"/>
        <v>0</v>
      </c>
      <c r="S10" s="36">
        <f t="shared" si="3"/>
        <v>1407</v>
      </c>
      <c r="T10" s="17">
        <f t="shared" si="8"/>
        <v>157</v>
      </c>
      <c r="U10" s="39">
        <f t="shared" si="9"/>
        <v>5259.5</v>
      </c>
    </row>
    <row r="11" spans="2:21" s="18" customFormat="1" x14ac:dyDescent="0.25">
      <c r="B11" s="16" t="s">
        <v>18</v>
      </c>
      <c r="C11" s="17">
        <v>500</v>
      </c>
      <c r="D11" s="16">
        <v>49</v>
      </c>
      <c r="E11" s="17"/>
      <c r="F11" s="16">
        <f>E11*D11</f>
        <v>0</v>
      </c>
      <c r="G11" s="17"/>
      <c r="H11" s="16">
        <f t="shared" si="10"/>
        <v>0</v>
      </c>
      <c r="I11" s="36">
        <f t="shared" si="4"/>
        <v>0</v>
      </c>
      <c r="J11" s="17"/>
      <c r="K11" s="16">
        <f t="shared" si="5"/>
        <v>0</v>
      </c>
      <c r="L11" s="17"/>
      <c r="M11" s="16">
        <f t="shared" si="6"/>
        <v>0</v>
      </c>
      <c r="N11" s="36">
        <f t="shared" si="7"/>
        <v>0</v>
      </c>
      <c r="O11" s="17"/>
      <c r="P11" s="16">
        <f t="shared" si="1"/>
        <v>0</v>
      </c>
      <c r="Q11" s="17"/>
      <c r="R11" s="16">
        <f t="shared" si="2"/>
        <v>0</v>
      </c>
      <c r="S11" s="36">
        <f t="shared" si="3"/>
        <v>0</v>
      </c>
      <c r="T11" s="17">
        <f t="shared" si="8"/>
        <v>0</v>
      </c>
      <c r="U11" s="39">
        <f t="shared" si="9"/>
        <v>0</v>
      </c>
    </row>
    <row r="12" spans="2:21" s="18" customFormat="1" x14ac:dyDescent="0.25">
      <c r="B12" s="16" t="s">
        <v>19</v>
      </c>
      <c r="C12" s="17">
        <v>1</v>
      </c>
      <c r="D12" s="16">
        <v>82</v>
      </c>
      <c r="E12" s="17"/>
      <c r="F12" s="16">
        <f t="shared" ref="F12:F15" si="11">E12*D12</f>
        <v>0</v>
      </c>
      <c r="G12" s="17"/>
      <c r="H12" s="16">
        <f t="shared" si="10"/>
        <v>0</v>
      </c>
      <c r="I12" s="36">
        <f t="shared" si="4"/>
        <v>0</v>
      </c>
      <c r="J12" s="17"/>
      <c r="K12" s="16">
        <f t="shared" si="5"/>
        <v>0</v>
      </c>
      <c r="L12" s="17"/>
      <c r="M12" s="16">
        <f t="shared" si="6"/>
        <v>0</v>
      </c>
      <c r="N12" s="36">
        <f t="shared" si="7"/>
        <v>0</v>
      </c>
      <c r="O12" s="17"/>
      <c r="P12" s="16">
        <f t="shared" si="1"/>
        <v>0</v>
      </c>
      <c r="Q12" s="17"/>
      <c r="R12" s="16">
        <f t="shared" si="2"/>
        <v>0</v>
      </c>
      <c r="S12" s="36">
        <f t="shared" si="3"/>
        <v>0</v>
      </c>
      <c r="T12" s="17">
        <f t="shared" si="8"/>
        <v>0</v>
      </c>
      <c r="U12" s="39">
        <f t="shared" si="9"/>
        <v>0</v>
      </c>
    </row>
    <row r="13" spans="2:21" s="18" customFormat="1" x14ac:dyDescent="0.25">
      <c r="B13" s="16" t="s">
        <v>20</v>
      </c>
      <c r="C13" s="17">
        <v>500</v>
      </c>
      <c r="D13" s="16">
        <v>72.2</v>
      </c>
      <c r="E13" s="17">
        <v>25</v>
      </c>
      <c r="F13" s="16">
        <f t="shared" ref="F13:F14" si="12">E13*D13</f>
        <v>1805</v>
      </c>
      <c r="G13" s="17"/>
      <c r="H13" s="16">
        <f t="shared" ref="H13:H14" si="13">G13*D13</f>
        <v>0</v>
      </c>
      <c r="I13" s="36">
        <f t="shared" ref="I13:I14" si="14">(G13+E13)*D13</f>
        <v>1805</v>
      </c>
      <c r="J13" s="17">
        <v>25</v>
      </c>
      <c r="K13" s="16">
        <f t="shared" ref="K13:K14" si="15">J13*D13</f>
        <v>1805</v>
      </c>
      <c r="L13" s="17">
        <v>20</v>
      </c>
      <c r="M13" s="16">
        <f t="shared" ref="M13:M14" si="16">L13*D13</f>
        <v>1444</v>
      </c>
      <c r="N13" s="36">
        <f t="shared" ref="N13:N14" si="17">(L13+J13)*D13</f>
        <v>3249</v>
      </c>
      <c r="O13" s="17">
        <v>25</v>
      </c>
      <c r="P13" s="16">
        <f t="shared" ref="P13:P14" si="18">O13*D13</f>
        <v>1805</v>
      </c>
      <c r="Q13" s="17"/>
      <c r="R13" s="16">
        <f t="shared" ref="R13:R14" si="19">Q13*D13</f>
        <v>0</v>
      </c>
      <c r="S13" s="36">
        <f t="shared" ref="S13:S14" si="20">(Q13+O13)*D13</f>
        <v>1805</v>
      </c>
      <c r="T13" s="17">
        <f t="shared" ref="T13:T14" si="21">G13+E13+J13+L13+O13+Q13</f>
        <v>95</v>
      </c>
      <c r="U13" s="39">
        <f t="shared" ref="U13:U14" si="22">S13+N13+I13</f>
        <v>6859</v>
      </c>
    </row>
    <row r="14" spans="2:21" s="18" customFormat="1" x14ac:dyDescent="0.25">
      <c r="B14" s="16" t="s">
        <v>44</v>
      </c>
      <c r="C14" s="17">
        <v>1000</v>
      </c>
      <c r="D14" s="16">
        <v>180</v>
      </c>
      <c r="E14" s="17">
        <v>5</v>
      </c>
      <c r="F14" s="16">
        <f t="shared" si="12"/>
        <v>900</v>
      </c>
      <c r="G14" s="17"/>
      <c r="H14" s="16">
        <f t="shared" si="13"/>
        <v>0</v>
      </c>
      <c r="I14" s="36">
        <f t="shared" si="14"/>
        <v>900</v>
      </c>
      <c r="J14" s="17">
        <v>3</v>
      </c>
      <c r="K14" s="16">
        <f t="shared" si="15"/>
        <v>540</v>
      </c>
      <c r="L14" s="17"/>
      <c r="M14" s="16">
        <f t="shared" si="16"/>
        <v>0</v>
      </c>
      <c r="N14" s="36">
        <f t="shared" si="17"/>
        <v>540</v>
      </c>
      <c r="O14" s="17"/>
      <c r="P14" s="16">
        <f t="shared" si="18"/>
        <v>0</v>
      </c>
      <c r="Q14" s="17"/>
      <c r="R14" s="16">
        <f t="shared" si="19"/>
        <v>0</v>
      </c>
      <c r="S14" s="36">
        <f t="shared" si="20"/>
        <v>0</v>
      </c>
      <c r="T14" s="17">
        <f t="shared" si="21"/>
        <v>8</v>
      </c>
      <c r="U14" s="39">
        <f t="shared" si="22"/>
        <v>1440</v>
      </c>
    </row>
    <row r="15" spans="2:21" s="18" customFormat="1" ht="14.4" thickBot="1" x14ac:dyDescent="0.3">
      <c r="B15" s="16" t="s">
        <v>53</v>
      </c>
      <c r="C15" s="17">
        <v>1000</v>
      </c>
      <c r="D15" s="16">
        <v>78</v>
      </c>
      <c r="E15" s="17">
        <v>1</v>
      </c>
      <c r="F15" s="16">
        <f t="shared" si="11"/>
        <v>78</v>
      </c>
      <c r="G15" s="17"/>
      <c r="H15" s="16">
        <f t="shared" si="10"/>
        <v>0</v>
      </c>
      <c r="I15" s="36">
        <f t="shared" si="4"/>
        <v>78</v>
      </c>
      <c r="J15" s="17"/>
      <c r="K15" s="16">
        <f t="shared" si="5"/>
        <v>0</v>
      </c>
      <c r="L15" s="17"/>
      <c r="M15" s="16">
        <f t="shared" si="6"/>
        <v>0</v>
      </c>
      <c r="N15" s="36">
        <f t="shared" si="7"/>
        <v>0</v>
      </c>
      <c r="O15" s="17"/>
      <c r="P15" s="16">
        <f t="shared" si="1"/>
        <v>0</v>
      </c>
      <c r="Q15" s="17"/>
      <c r="R15" s="16">
        <f t="shared" si="2"/>
        <v>0</v>
      </c>
      <c r="S15" s="36">
        <f t="shared" si="3"/>
        <v>0</v>
      </c>
      <c r="T15" s="17">
        <f t="shared" si="8"/>
        <v>1</v>
      </c>
      <c r="U15" s="39">
        <f t="shared" si="9"/>
        <v>78</v>
      </c>
    </row>
    <row r="16" spans="2:21" s="18" customFormat="1" ht="14.4" thickBot="1" x14ac:dyDescent="0.3">
      <c r="B16" s="19"/>
      <c r="C16" s="20"/>
      <c r="D16" s="21"/>
      <c r="E16" s="22"/>
      <c r="F16" s="23">
        <f>SUM(F6:F15)</f>
        <v>6610.5</v>
      </c>
      <c r="G16" s="22"/>
      <c r="H16" s="23">
        <f>SUM(H6:H15)</f>
        <v>0</v>
      </c>
      <c r="I16" s="26">
        <f>SUM(I6:I15)</f>
        <v>6610.5</v>
      </c>
      <c r="J16" s="22"/>
      <c r="K16" s="23">
        <f>SUM(K6:K15)</f>
        <v>3685</v>
      </c>
      <c r="L16" s="22"/>
      <c r="M16" s="23">
        <f>SUM(M6:M15)</f>
        <v>4676.1000000000004</v>
      </c>
      <c r="N16" s="26">
        <f>SUM(N6:N15)</f>
        <v>8361.1</v>
      </c>
      <c r="O16" s="22"/>
      <c r="P16" s="23">
        <f>SUM(P6:P15)</f>
        <v>4140</v>
      </c>
      <c r="Q16" s="22"/>
      <c r="R16" s="23">
        <f>SUM(R6:R15)</f>
        <v>0</v>
      </c>
      <c r="S16" s="26">
        <f>SUM(S6:S15)</f>
        <v>4140</v>
      </c>
      <c r="T16" s="24"/>
      <c r="U16" s="25">
        <f>SUM(U6:U15)</f>
        <v>19111.599999999999</v>
      </c>
    </row>
    <row r="17" spans="2:21" ht="17.399999999999999" x14ac:dyDescent="0.3">
      <c r="B17" s="10" t="s">
        <v>21</v>
      </c>
      <c r="C17" s="11"/>
      <c r="D17" s="12"/>
      <c r="E17" s="13"/>
      <c r="F17" s="14"/>
      <c r="G17" s="13"/>
      <c r="H17" s="14"/>
      <c r="I17" s="13"/>
      <c r="J17" s="13">
        <v>2333</v>
      </c>
      <c r="K17" s="14">
        <v>45970</v>
      </c>
      <c r="L17" s="13"/>
      <c r="M17" s="14"/>
      <c r="N17" s="15"/>
      <c r="O17" s="13">
        <v>2384</v>
      </c>
      <c r="P17" s="14">
        <v>46014</v>
      </c>
      <c r="Q17" s="13"/>
      <c r="R17" s="14"/>
      <c r="S17" s="15"/>
      <c r="T17" s="15"/>
      <c r="U17" s="15"/>
    </row>
    <row r="18" spans="2:21" s="18" customFormat="1" x14ac:dyDescent="0.25">
      <c r="B18" s="16" t="s">
        <v>13</v>
      </c>
      <c r="C18" s="17">
        <v>1000</v>
      </c>
      <c r="D18" s="16">
        <v>74.22</v>
      </c>
      <c r="E18" s="17"/>
      <c r="F18" s="16">
        <f t="shared" ref="F18:F22" si="23">E18*D18</f>
        <v>0</v>
      </c>
      <c r="G18" s="17"/>
      <c r="H18" s="16">
        <f>G18*D18</f>
        <v>0</v>
      </c>
      <c r="I18" s="36">
        <f>(G18+E18)*D18</f>
        <v>0</v>
      </c>
      <c r="J18" s="17"/>
      <c r="K18" s="16">
        <f>J18*D18</f>
        <v>0</v>
      </c>
      <c r="L18" s="17"/>
      <c r="M18" s="16">
        <f>L18*D18</f>
        <v>0</v>
      </c>
      <c r="N18" s="36">
        <f>(L18+J18)*D18</f>
        <v>0</v>
      </c>
      <c r="O18" s="17"/>
      <c r="P18" s="16">
        <f t="shared" ref="P18:P27" si="24">O18*D18</f>
        <v>0</v>
      </c>
      <c r="Q18" s="17"/>
      <c r="R18" s="16">
        <f t="shared" ref="R18:R27" si="25">Q18*D18</f>
        <v>0</v>
      </c>
      <c r="S18" s="36">
        <f t="shared" ref="S18:S27" si="26">(Q18+O18)*D18</f>
        <v>0</v>
      </c>
      <c r="T18" s="17">
        <f>G18+E18+J18+L18+O18+Q18</f>
        <v>0</v>
      </c>
      <c r="U18" s="39">
        <f>S18+N18+I18</f>
        <v>0</v>
      </c>
    </row>
    <row r="19" spans="2:21" s="18" customFormat="1" x14ac:dyDescent="0.25">
      <c r="B19" s="16" t="s">
        <v>14</v>
      </c>
      <c r="C19" s="17">
        <v>500</v>
      </c>
      <c r="D19" s="16">
        <v>92.8</v>
      </c>
      <c r="E19" s="17"/>
      <c r="F19" s="16">
        <f t="shared" si="23"/>
        <v>0</v>
      </c>
      <c r="G19" s="17"/>
      <c r="H19" s="16">
        <f>G19*D19</f>
        <v>0</v>
      </c>
      <c r="I19" s="36">
        <f t="shared" ref="I19:I27" si="27">(G19+E19)*D19</f>
        <v>0</v>
      </c>
      <c r="J19" s="17"/>
      <c r="K19" s="16">
        <f t="shared" ref="K19:K27" si="28">J19*D19</f>
        <v>0</v>
      </c>
      <c r="L19" s="17"/>
      <c r="M19" s="16">
        <f t="shared" ref="M19:M27" si="29">L19*D19</f>
        <v>0</v>
      </c>
      <c r="N19" s="36">
        <f t="shared" ref="N19:N27" si="30">(L19+J19)*D19</f>
        <v>0</v>
      </c>
      <c r="O19" s="17"/>
      <c r="P19" s="16">
        <f t="shared" si="24"/>
        <v>0</v>
      </c>
      <c r="Q19" s="17"/>
      <c r="R19" s="16">
        <f t="shared" si="25"/>
        <v>0</v>
      </c>
      <c r="S19" s="36">
        <f t="shared" si="26"/>
        <v>0</v>
      </c>
      <c r="T19" s="17">
        <f t="shared" ref="T19:T27" si="31">G19+E19+J19+L19+O19+Q19</f>
        <v>0</v>
      </c>
      <c r="U19" s="39">
        <f t="shared" ref="U19:U27" si="32">S19+N19+I19</f>
        <v>0</v>
      </c>
    </row>
    <row r="20" spans="2:21" s="18" customFormat="1" x14ac:dyDescent="0.25">
      <c r="B20" s="16" t="s">
        <v>15</v>
      </c>
      <c r="C20" s="17">
        <v>1000</v>
      </c>
      <c r="D20" s="16">
        <v>74.2</v>
      </c>
      <c r="E20" s="17"/>
      <c r="F20" s="16">
        <f t="shared" si="23"/>
        <v>0</v>
      </c>
      <c r="G20" s="17"/>
      <c r="H20" s="16">
        <f t="shared" ref="H20:H27" si="33">G20*D20</f>
        <v>0</v>
      </c>
      <c r="I20" s="36">
        <f t="shared" si="27"/>
        <v>0</v>
      </c>
      <c r="J20" s="17"/>
      <c r="K20" s="16">
        <f t="shared" si="28"/>
        <v>0</v>
      </c>
      <c r="L20" s="17"/>
      <c r="M20" s="16">
        <f t="shared" si="29"/>
        <v>0</v>
      </c>
      <c r="N20" s="36">
        <f t="shared" si="30"/>
        <v>0</v>
      </c>
      <c r="O20" s="17"/>
      <c r="P20" s="16">
        <f t="shared" si="24"/>
        <v>0</v>
      </c>
      <c r="Q20" s="17"/>
      <c r="R20" s="16">
        <f t="shared" si="25"/>
        <v>0</v>
      </c>
      <c r="S20" s="36">
        <f t="shared" si="26"/>
        <v>0</v>
      </c>
      <c r="T20" s="17">
        <f t="shared" si="31"/>
        <v>0</v>
      </c>
      <c r="U20" s="39">
        <f t="shared" si="32"/>
        <v>0</v>
      </c>
    </row>
    <row r="21" spans="2:21" s="18" customFormat="1" x14ac:dyDescent="0.25">
      <c r="B21" s="16" t="s">
        <v>16</v>
      </c>
      <c r="C21" s="17">
        <v>2000</v>
      </c>
      <c r="D21" s="16">
        <v>701</v>
      </c>
      <c r="E21" s="17"/>
      <c r="F21" s="16">
        <f t="shared" si="23"/>
        <v>0</v>
      </c>
      <c r="G21" s="17"/>
      <c r="H21" s="16">
        <f t="shared" si="33"/>
        <v>0</v>
      </c>
      <c r="I21" s="36">
        <f t="shared" si="27"/>
        <v>0</v>
      </c>
      <c r="J21" s="17"/>
      <c r="K21" s="16">
        <f t="shared" si="28"/>
        <v>0</v>
      </c>
      <c r="L21" s="17"/>
      <c r="M21" s="16">
        <f t="shared" si="29"/>
        <v>0</v>
      </c>
      <c r="N21" s="36">
        <f t="shared" si="30"/>
        <v>0</v>
      </c>
      <c r="O21" s="17"/>
      <c r="P21" s="16">
        <f t="shared" si="24"/>
        <v>0</v>
      </c>
      <c r="Q21" s="17"/>
      <c r="R21" s="16">
        <f t="shared" si="25"/>
        <v>0</v>
      </c>
      <c r="S21" s="36">
        <f t="shared" si="26"/>
        <v>0</v>
      </c>
      <c r="T21" s="17">
        <f t="shared" si="31"/>
        <v>0</v>
      </c>
      <c r="U21" s="39">
        <f t="shared" si="32"/>
        <v>0</v>
      </c>
    </row>
    <row r="22" spans="2:21" s="18" customFormat="1" x14ac:dyDescent="0.25">
      <c r="B22" s="16" t="s">
        <v>17</v>
      </c>
      <c r="C22" s="17">
        <v>500</v>
      </c>
      <c r="D22" s="16">
        <v>33.5</v>
      </c>
      <c r="E22" s="17"/>
      <c r="F22" s="16">
        <f t="shared" si="23"/>
        <v>0</v>
      </c>
      <c r="G22" s="17"/>
      <c r="H22" s="16">
        <f t="shared" si="33"/>
        <v>0</v>
      </c>
      <c r="I22" s="36">
        <f t="shared" si="27"/>
        <v>0</v>
      </c>
      <c r="J22" s="17">
        <v>30</v>
      </c>
      <c r="K22" s="16">
        <f t="shared" si="28"/>
        <v>1005</v>
      </c>
      <c r="L22" s="17"/>
      <c r="M22" s="16">
        <f t="shared" si="29"/>
        <v>0</v>
      </c>
      <c r="N22" s="36">
        <f t="shared" si="30"/>
        <v>1005</v>
      </c>
      <c r="O22" s="17">
        <v>30</v>
      </c>
      <c r="P22" s="16">
        <f t="shared" si="24"/>
        <v>1005</v>
      </c>
      <c r="Q22" s="17"/>
      <c r="R22" s="16">
        <f t="shared" si="25"/>
        <v>0</v>
      </c>
      <c r="S22" s="36">
        <f t="shared" si="26"/>
        <v>1005</v>
      </c>
      <c r="T22" s="17">
        <f t="shared" si="31"/>
        <v>60</v>
      </c>
      <c r="U22" s="39">
        <f t="shared" si="32"/>
        <v>2010</v>
      </c>
    </row>
    <row r="23" spans="2:21" s="18" customFormat="1" x14ac:dyDescent="0.25">
      <c r="B23" s="16" t="s">
        <v>18</v>
      </c>
      <c r="C23" s="17">
        <v>500</v>
      </c>
      <c r="D23" s="16">
        <v>49</v>
      </c>
      <c r="E23" s="17"/>
      <c r="F23" s="16">
        <f>E23*D23</f>
        <v>0</v>
      </c>
      <c r="G23" s="17"/>
      <c r="H23" s="16">
        <f t="shared" si="33"/>
        <v>0</v>
      </c>
      <c r="I23" s="36">
        <f t="shared" si="27"/>
        <v>0</v>
      </c>
      <c r="J23" s="17">
        <v>2</v>
      </c>
      <c r="K23" s="16">
        <f t="shared" si="28"/>
        <v>98</v>
      </c>
      <c r="L23" s="17"/>
      <c r="M23" s="16">
        <f t="shared" si="29"/>
        <v>0</v>
      </c>
      <c r="N23" s="36">
        <f t="shared" si="30"/>
        <v>98</v>
      </c>
      <c r="O23" s="17"/>
      <c r="P23" s="16">
        <f t="shared" si="24"/>
        <v>0</v>
      </c>
      <c r="Q23" s="17"/>
      <c r="R23" s="16">
        <f t="shared" si="25"/>
        <v>0</v>
      </c>
      <c r="S23" s="36">
        <f t="shared" si="26"/>
        <v>0</v>
      </c>
      <c r="T23" s="17">
        <f t="shared" si="31"/>
        <v>2</v>
      </c>
      <c r="U23" s="39">
        <f t="shared" si="32"/>
        <v>98</v>
      </c>
    </row>
    <row r="24" spans="2:21" s="18" customFormat="1" x14ac:dyDescent="0.25">
      <c r="B24" s="16" t="s">
        <v>19</v>
      </c>
      <c r="C24" s="17">
        <v>1</v>
      </c>
      <c r="D24" s="16">
        <v>84.5</v>
      </c>
      <c r="E24" s="17"/>
      <c r="F24" s="16">
        <f t="shared" ref="F24:F27" si="34">E24*D24</f>
        <v>0</v>
      </c>
      <c r="G24" s="17"/>
      <c r="H24" s="16">
        <f t="shared" si="33"/>
        <v>0</v>
      </c>
      <c r="I24" s="36">
        <f t="shared" si="27"/>
        <v>0</v>
      </c>
      <c r="J24" s="17"/>
      <c r="K24" s="16">
        <f t="shared" si="28"/>
        <v>0</v>
      </c>
      <c r="L24" s="17"/>
      <c r="M24" s="16">
        <f t="shared" si="29"/>
        <v>0</v>
      </c>
      <c r="N24" s="36">
        <f t="shared" si="30"/>
        <v>0</v>
      </c>
      <c r="O24" s="17"/>
      <c r="P24" s="16">
        <f t="shared" si="24"/>
        <v>0</v>
      </c>
      <c r="Q24" s="17"/>
      <c r="R24" s="16">
        <f t="shared" si="25"/>
        <v>0</v>
      </c>
      <c r="S24" s="36">
        <f t="shared" si="26"/>
        <v>0</v>
      </c>
      <c r="T24" s="17">
        <f t="shared" si="31"/>
        <v>0</v>
      </c>
      <c r="U24" s="39">
        <f t="shared" si="32"/>
        <v>0</v>
      </c>
    </row>
    <row r="25" spans="2:21" s="18" customFormat="1" x14ac:dyDescent="0.25">
      <c r="B25" s="16" t="s">
        <v>20</v>
      </c>
      <c r="C25" s="17">
        <v>500</v>
      </c>
      <c r="D25" s="16">
        <v>72.2</v>
      </c>
      <c r="E25" s="17"/>
      <c r="F25" s="16">
        <f t="shared" si="34"/>
        <v>0</v>
      </c>
      <c r="G25" s="17"/>
      <c r="H25" s="16">
        <f t="shared" si="33"/>
        <v>0</v>
      </c>
      <c r="I25" s="36">
        <f t="shared" si="27"/>
        <v>0</v>
      </c>
      <c r="J25" s="17"/>
      <c r="K25" s="16">
        <f t="shared" si="28"/>
        <v>0</v>
      </c>
      <c r="L25" s="17"/>
      <c r="M25" s="16">
        <f t="shared" si="29"/>
        <v>0</v>
      </c>
      <c r="N25" s="36">
        <f t="shared" si="30"/>
        <v>0</v>
      </c>
      <c r="O25" s="17"/>
      <c r="P25" s="16">
        <f t="shared" si="24"/>
        <v>0</v>
      </c>
      <c r="Q25" s="17"/>
      <c r="R25" s="16">
        <f t="shared" si="25"/>
        <v>0</v>
      </c>
      <c r="S25" s="36">
        <f t="shared" si="26"/>
        <v>0</v>
      </c>
      <c r="T25" s="17">
        <f t="shared" si="31"/>
        <v>0</v>
      </c>
      <c r="U25" s="39">
        <f t="shared" si="32"/>
        <v>0</v>
      </c>
    </row>
    <row r="26" spans="2:21" s="18" customFormat="1" x14ac:dyDescent="0.25">
      <c r="B26" s="16" t="s">
        <v>44</v>
      </c>
      <c r="C26" s="17">
        <v>1000</v>
      </c>
      <c r="D26" s="16">
        <v>180</v>
      </c>
      <c r="E26" s="17"/>
      <c r="F26" s="16">
        <f t="shared" si="34"/>
        <v>0</v>
      </c>
      <c r="G26" s="17"/>
      <c r="H26" s="16">
        <f t="shared" si="33"/>
        <v>0</v>
      </c>
      <c r="I26" s="36">
        <f t="shared" si="27"/>
        <v>0</v>
      </c>
      <c r="J26" s="17"/>
      <c r="K26" s="16">
        <f t="shared" si="28"/>
        <v>0</v>
      </c>
      <c r="L26" s="17"/>
      <c r="M26" s="16">
        <f t="shared" si="29"/>
        <v>0</v>
      </c>
      <c r="N26" s="36">
        <f t="shared" si="30"/>
        <v>0</v>
      </c>
      <c r="O26" s="17"/>
      <c r="P26" s="16">
        <f t="shared" si="24"/>
        <v>0</v>
      </c>
      <c r="Q26" s="17"/>
      <c r="R26" s="16">
        <f t="shared" si="25"/>
        <v>0</v>
      </c>
      <c r="S26" s="36">
        <f t="shared" si="26"/>
        <v>0</v>
      </c>
      <c r="T26" s="17">
        <f t="shared" si="31"/>
        <v>0</v>
      </c>
      <c r="U26" s="39">
        <f t="shared" si="32"/>
        <v>0</v>
      </c>
    </row>
    <row r="27" spans="2:21" s="18" customFormat="1" ht="14.4" thickBot="1" x14ac:dyDescent="0.3">
      <c r="B27" s="16" t="s">
        <v>53</v>
      </c>
      <c r="C27" s="17">
        <v>1000</v>
      </c>
      <c r="D27" s="16">
        <v>78</v>
      </c>
      <c r="E27" s="17"/>
      <c r="F27" s="16">
        <f t="shared" si="34"/>
        <v>0</v>
      </c>
      <c r="G27" s="17"/>
      <c r="H27" s="16">
        <f t="shared" si="33"/>
        <v>0</v>
      </c>
      <c r="I27" s="36">
        <f t="shared" si="27"/>
        <v>0</v>
      </c>
      <c r="J27" s="17"/>
      <c r="K27" s="16">
        <f t="shared" si="28"/>
        <v>0</v>
      </c>
      <c r="L27" s="17"/>
      <c r="M27" s="16">
        <f t="shared" si="29"/>
        <v>0</v>
      </c>
      <c r="N27" s="36">
        <f t="shared" si="30"/>
        <v>0</v>
      </c>
      <c r="O27" s="17"/>
      <c r="P27" s="16">
        <f t="shared" si="24"/>
        <v>0</v>
      </c>
      <c r="Q27" s="17"/>
      <c r="R27" s="16">
        <f t="shared" si="25"/>
        <v>0</v>
      </c>
      <c r="S27" s="36">
        <f t="shared" si="26"/>
        <v>0</v>
      </c>
      <c r="T27" s="17">
        <f t="shared" si="31"/>
        <v>0</v>
      </c>
      <c r="U27" s="39">
        <f t="shared" si="32"/>
        <v>0</v>
      </c>
    </row>
    <row r="28" spans="2:21" s="18" customFormat="1" ht="14.4" thickBot="1" x14ac:dyDescent="0.3">
      <c r="B28" s="19"/>
      <c r="C28" s="20"/>
      <c r="D28" s="21"/>
      <c r="E28" s="22"/>
      <c r="F28" s="23">
        <f>SUM(F18:F27)</f>
        <v>0</v>
      </c>
      <c r="G28" s="22"/>
      <c r="H28" s="23">
        <f>SUM(H18:H27)</f>
        <v>0</v>
      </c>
      <c r="I28" s="26">
        <f>SUM(I18:I27)</f>
        <v>0</v>
      </c>
      <c r="J28" s="22"/>
      <c r="K28" s="23">
        <f>SUM(K18:K27)</f>
        <v>1103</v>
      </c>
      <c r="L28" s="22"/>
      <c r="M28" s="23">
        <f>SUM(M18:M27)</f>
        <v>0</v>
      </c>
      <c r="N28" s="26">
        <f>SUM(N18:N27)</f>
        <v>1103</v>
      </c>
      <c r="O28" s="22"/>
      <c r="P28" s="23">
        <f>SUM(P18:P27)</f>
        <v>1005</v>
      </c>
      <c r="Q28" s="22"/>
      <c r="R28" s="23">
        <f>SUM(R18:R27)</f>
        <v>0</v>
      </c>
      <c r="S28" s="26">
        <f>SUM(S18:S27)</f>
        <v>1005</v>
      </c>
      <c r="T28" s="24"/>
      <c r="U28" s="25">
        <f>SUM(U18:U27)</f>
        <v>2108</v>
      </c>
    </row>
    <row r="29" spans="2:21" ht="17.399999999999999" x14ac:dyDescent="0.3">
      <c r="B29" s="10" t="s">
        <v>22</v>
      </c>
      <c r="C29" s="11"/>
      <c r="D29" s="12"/>
      <c r="E29" s="13">
        <v>2300</v>
      </c>
      <c r="F29" s="14">
        <v>45935</v>
      </c>
      <c r="G29" s="13"/>
      <c r="H29" s="14"/>
      <c r="I29" s="13"/>
      <c r="J29" s="13"/>
      <c r="K29" s="14"/>
      <c r="L29" s="13"/>
      <c r="M29" s="14"/>
      <c r="N29" s="15"/>
      <c r="O29" s="13">
        <v>2356</v>
      </c>
      <c r="P29" s="14">
        <v>45992</v>
      </c>
      <c r="Q29" s="13"/>
      <c r="R29" s="14"/>
      <c r="S29" s="15"/>
      <c r="T29" s="15"/>
      <c r="U29" s="15"/>
    </row>
    <row r="30" spans="2:21" s="18" customFormat="1" x14ac:dyDescent="0.25">
      <c r="B30" s="16" t="s">
        <v>13</v>
      </c>
      <c r="C30" s="17">
        <v>1000</v>
      </c>
      <c r="D30" s="16">
        <v>74.22</v>
      </c>
      <c r="E30" s="17"/>
      <c r="F30" s="16">
        <f t="shared" ref="F30:F34" si="35">E30*D30</f>
        <v>0</v>
      </c>
      <c r="G30" s="17"/>
      <c r="H30" s="16">
        <f>G30*D30</f>
        <v>0</v>
      </c>
      <c r="I30" s="36">
        <f>(G30+E30)*D30</f>
        <v>0</v>
      </c>
      <c r="J30" s="17"/>
      <c r="K30" s="16">
        <f>J30*D30</f>
        <v>0</v>
      </c>
      <c r="L30" s="17"/>
      <c r="M30" s="16">
        <f>L30*D30</f>
        <v>0</v>
      </c>
      <c r="N30" s="36">
        <f>(L30+J30)*D30</f>
        <v>0</v>
      </c>
      <c r="O30" s="17"/>
      <c r="P30" s="16">
        <f t="shared" ref="P30:P39" si="36">O30*D30</f>
        <v>0</v>
      </c>
      <c r="Q30" s="17"/>
      <c r="R30" s="16">
        <f t="shared" ref="R30:R39" si="37">Q30*D30</f>
        <v>0</v>
      </c>
      <c r="S30" s="36">
        <f t="shared" ref="S30:S39" si="38">(Q30+O30)*D30</f>
        <v>0</v>
      </c>
      <c r="T30" s="17">
        <f>G30+E30+J30+L30+O30+Q30</f>
        <v>0</v>
      </c>
      <c r="U30" s="39">
        <f>S30+N30+I30</f>
        <v>0</v>
      </c>
    </row>
    <row r="31" spans="2:21" s="18" customFormat="1" x14ac:dyDescent="0.25">
      <c r="B31" s="16" t="s">
        <v>14</v>
      </c>
      <c r="C31" s="17">
        <v>500</v>
      </c>
      <c r="D31" s="16">
        <v>92.8</v>
      </c>
      <c r="E31" s="17"/>
      <c r="F31" s="16">
        <f t="shared" si="35"/>
        <v>0</v>
      </c>
      <c r="G31" s="17"/>
      <c r="H31" s="16">
        <f>G31*D31</f>
        <v>0</v>
      </c>
      <c r="I31" s="36">
        <f t="shared" ref="I31:I39" si="39">(G31+E31)*D31</f>
        <v>0</v>
      </c>
      <c r="J31" s="17"/>
      <c r="K31" s="16">
        <f t="shared" ref="K31:K39" si="40">J31*D31</f>
        <v>0</v>
      </c>
      <c r="L31" s="17"/>
      <c r="M31" s="16">
        <f t="shared" ref="M31:M39" si="41">L31*D31</f>
        <v>0</v>
      </c>
      <c r="N31" s="36">
        <f t="shared" ref="N31:N39" si="42">(L31+J31)*D31</f>
        <v>0</v>
      </c>
      <c r="O31" s="17"/>
      <c r="P31" s="16">
        <f t="shared" si="36"/>
        <v>0</v>
      </c>
      <c r="Q31" s="17"/>
      <c r="R31" s="16">
        <f t="shared" si="37"/>
        <v>0</v>
      </c>
      <c r="S31" s="36">
        <f t="shared" si="38"/>
        <v>0</v>
      </c>
      <c r="T31" s="17">
        <f t="shared" ref="T31:T39" si="43">G31+E31+J31+L31+O31+Q31</f>
        <v>0</v>
      </c>
      <c r="U31" s="39">
        <f t="shared" ref="U31:U39" si="44">S31+N31+I31</f>
        <v>0</v>
      </c>
    </row>
    <row r="32" spans="2:21" s="18" customFormat="1" x14ac:dyDescent="0.25">
      <c r="B32" s="16" t="s">
        <v>15</v>
      </c>
      <c r="C32" s="17">
        <v>1000</v>
      </c>
      <c r="D32" s="16">
        <v>74.2</v>
      </c>
      <c r="E32" s="17"/>
      <c r="F32" s="16">
        <f t="shared" si="35"/>
        <v>0</v>
      </c>
      <c r="G32" s="17"/>
      <c r="H32" s="16">
        <f t="shared" ref="H32:H39" si="45">G32*D32</f>
        <v>0</v>
      </c>
      <c r="I32" s="36">
        <f t="shared" si="39"/>
        <v>0</v>
      </c>
      <c r="J32" s="17"/>
      <c r="K32" s="16">
        <f t="shared" si="40"/>
        <v>0</v>
      </c>
      <c r="L32" s="17"/>
      <c r="M32" s="16">
        <f t="shared" si="41"/>
        <v>0</v>
      </c>
      <c r="N32" s="36">
        <f t="shared" si="42"/>
        <v>0</v>
      </c>
      <c r="O32" s="17"/>
      <c r="P32" s="16">
        <f t="shared" si="36"/>
        <v>0</v>
      </c>
      <c r="Q32" s="17"/>
      <c r="R32" s="16">
        <f t="shared" si="37"/>
        <v>0</v>
      </c>
      <c r="S32" s="36">
        <f t="shared" si="38"/>
        <v>0</v>
      </c>
      <c r="T32" s="17">
        <f t="shared" si="43"/>
        <v>0</v>
      </c>
      <c r="U32" s="39">
        <f t="shared" si="44"/>
        <v>0</v>
      </c>
    </row>
    <row r="33" spans="2:21" s="18" customFormat="1" x14ac:dyDescent="0.25">
      <c r="B33" s="16" t="s">
        <v>16</v>
      </c>
      <c r="C33" s="17">
        <v>2000</v>
      </c>
      <c r="D33" s="16">
        <v>701</v>
      </c>
      <c r="E33" s="17"/>
      <c r="F33" s="16">
        <f t="shared" si="35"/>
        <v>0</v>
      </c>
      <c r="G33" s="17"/>
      <c r="H33" s="16">
        <f t="shared" si="45"/>
        <v>0</v>
      </c>
      <c r="I33" s="36">
        <f t="shared" si="39"/>
        <v>0</v>
      </c>
      <c r="J33" s="17"/>
      <c r="K33" s="16">
        <f t="shared" si="40"/>
        <v>0</v>
      </c>
      <c r="L33" s="17"/>
      <c r="M33" s="16">
        <f t="shared" si="41"/>
        <v>0</v>
      </c>
      <c r="N33" s="36">
        <f t="shared" si="42"/>
        <v>0</v>
      </c>
      <c r="O33" s="17"/>
      <c r="P33" s="16">
        <f t="shared" si="36"/>
        <v>0</v>
      </c>
      <c r="Q33" s="17"/>
      <c r="R33" s="16">
        <f t="shared" si="37"/>
        <v>0</v>
      </c>
      <c r="S33" s="36">
        <f t="shared" si="38"/>
        <v>0</v>
      </c>
      <c r="T33" s="17">
        <f t="shared" si="43"/>
        <v>0</v>
      </c>
      <c r="U33" s="39">
        <f t="shared" si="44"/>
        <v>0</v>
      </c>
    </row>
    <row r="34" spans="2:21" s="18" customFormat="1" x14ac:dyDescent="0.25">
      <c r="B34" s="16" t="s">
        <v>17</v>
      </c>
      <c r="C34" s="17">
        <v>500</v>
      </c>
      <c r="D34" s="16">
        <v>33.5</v>
      </c>
      <c r="E34" s="17">
        <v>30</v>
      </c>
      <c r="F34" s="16">
        <f t="shared" si="35"/>
        <v>1005</v>
      </c>
      <c r="G34" s="17"/>
      <c r="H34" s="16">
        <f t="shared" si="45"/>
        <v>0</v>
      </c>
      <c r="I34" s="36">
        <f t="shared" si="39"/>
        <v>1005</v>
      </c>
      <c r="J34" s="17"/>
      <c r="K34" s="16">
        <f t="shared" si="40"/>
        <v>0</v>
      </c>
      <c r="L34" s="17"/>
      <c r="M34" s="16">
        <f t="shared" si="41"/>
        <v>0</v>
      </c>
      <c r="N34" s="36">
        <f t="shared" si="42"/>
        <v>0</v>
      </c>
      <c r="O34" s="17">
        <v>30</v>
      </c>
      <c r="P34" s="16">
        <f t="shared" si="36"/>
        <v>1005</v>
      </c>
      <c r="Q34" s="17"/>
      <c r="R34" s="16">
        <f t="shared" si="37"/>
        <v>0</v>
      </c>
      <c r="S34" s="36">
        <f t="shared" si="38"/>
        <v>1005</v>
      </c>
      <c r="T34" s="17">
        <f t="shared" si="43"/>
        <v>60</v>
      </c>
      <c r="U34" s="39">
        <f t="shared" si="44"/>
        <v>2010</v>
      </c>
    </row>
    <row r="35" spans="2:21" s="18" customFormat="1" x14ac:dyDescent="0.25">
      <c r="B35" s="16" t="s">
        <v>18</v>
      </c>
      <c r="C35" s="17">
        <v>500</v>
      </c>
      <c r="D35" s="16">
        <v>49</v>
      </c>
      <c r="E35" s="17"/>
      <c r="F35" s="16">
        <f>E35*D35</f>
        <v>0</v>
      </c>
      <c r="G35" s="17"/>
      <c r="H35" s="16">
        <f t="shared" si="45"/>
        <v>0</v>
      </c>
      <c r="I35" s="36">
        <f t="shared" si="39"/>
        <v>0</v>
      </c>
      <c r="J35" s="17"/>
      <c r="K35" s="16">
        <f t="shared" si="40"/>
        <v>0</v>
      </c>
      <c r="L35" s="17"/>
      <c r="M35" s="16">
        <f t="shared" si="41"/>
        <v>0</v>
      </c>
      <c r="N35" s="36">
        <f t="shared" si="42"/>
        <v>0</v>
      </c>
      <c r="O35" s="17">
        <v>4</v>
      </c>
      <c r="P35" s="16">
        <f t="shared" si="36"/>
        <v>196</v>
      </c>
      <c r="Q35" s="17"/>
      <c r="R35" s="16">
        <f t="shared" si="37"/>
        <v>0</v>
      </c>
      <c r="S35" s="36">
        <f t="shared" si="38"/>
        <v>196</v>
      </c>
      <c r="T35" s="17">
        <f t="shared" si="43"/>
        <v>4</v>
      </c>
      <c r="U35" s="39">
        <f t="shared" si="44"/>
        <v>196</v>
      </c>
    </row>
    <row r="36" spans="2:21" s="18" customFormat="1" x14ac:dyDescent="0.25">
      <c r="B36" s="16" t="s">
        <v>19</v>
      </c>
      <c r="C36" s="17">
        <v>1</v>
      </c>
      <c r="D36" s="16">
        <v>84.5</v>
      </c>
      <c r="E36" s="17"/>
      <c r="F36" s="16">
        <f t="shared" ref="F36:F39" si="46">E36*D36</f>
        <v>0</v>
      </c>
      <c r="G36" s="17"/>
      <c r="H36" s="16">
        <f t="shared" si="45"/>
        <v>0</v>
      </c>
      <c r="I36" s="36">
        <f t="shared" si="39"/>
        <v>0</v>
      </c>
      <c r="J36" s="17"/>
      <c r="K36" s="16">
        <f t="shared" si="40"/>
        <v>0</v>
      </c>
      <c r="L36" s="17"/>
      <c r="M36" s="16">
        <f t="shared" si="41"/>
        <v>0</v>
      </c>
      <c r="N36" s="36">
        <f t="shared" si="42"/>
        <v>0</v>
      </c>
      <c r="O36" s="17"/>
      <c r="P36" s="16">
        <f t="shared" si="36"/>
        <v>0</v>
      </c>
      <c r="Q36" s="17"/>
      <c r="R36" s="16">
        <f t="shared" si="37"/>
        <v>0</v>
      </c>
      <c r="S36" s="36">
        <f t="shared" si="38"/>
        <v>0</v>
      </c>
      <c r="T36" s="17">
        <f t="shared" si="43"/>
        <v>0</v>
      </c>
      <c r="U36" s="39">
        <f t="shared" si="44"/>
        <v>0</v>
      </c>
    </row>
    <row r="37" spans="2:21" s="18" customFormat="1" x14ac:dyDescent="0.25">
      <c r="B37" s="16" t="s">
        <v>20</v>
      </c>
      <c r="C37" s="17">
        <v>500</v>
      </c>
      <c r="D37" s="16">
        <v>72.2</v>
      </c>
      <c r="E37" s="17"/>
      <c r="F37" s="16">
        <f t="shared" si="46"/>
        <v>0</v>
      </c>
      <c r="G37" s="17"/>
      <c r="H37" s="16">
        <f t="shared" si="45"/>
        <v>0</v>
      </c>
      <c r="I37" s="36">
        <f t="shared" si="39"/>
        <v>0</v>
      </c>
      <c r="J37" s="17"/>
      <c r="K37" s="16">
        <f t="shared" si="40"/>
        <v>0</v>
      </c>
      <c r="L37" s="17"/>
      <c r="M37" s="16">
        <f t="shared" si="41"/>
        <v>0</v>
      </c>
      <c r="N37" s="36">
        <f t="shared" si="42"/>
        <v>0</v>
      </c>
      <c r="O37" s="17"/>
      <c r="P37" s="16">
        <f t="shared" si="36"/>
        <v>0</v>
      </c>
      <c r="Q37" s="17"/>
      <c r="R37" s="16">
        <f t="shared" si="37"/>
        <v>0</v>
      </c>
      <c r="S37" s="36">
        <f t="shared" si="38"/>
        <v>0</v>
      </c>
      <c r="T37" s="17">
        <f t="shared" si="43"/>
        <v>0</v>
      </c>
      <c r="U37" s="39">
        <f t="shared" si="44"/>
        <v>0</v>
      </c>
    </row>
    <row r="38" spans="2:21" s="18" customFormat="1" x14ac:dyDescent="0.25">
      <c r="B38" s="16" t="s">
        <v>44</v>
      </c>
      <c r="C38" s="17">
        <v>1000</v>
      </c>
      <c r="D38" s="16">
        <v>180</v>
      </c>
      <c r="E38" s="17"/>
      <c r="F38" s="16">
        <f t="shared" si="46"/>
        <v>0</v>
      </c>
      <c r="G38" s="17"/>
      <c r="H38" s="16">
        <f t="shared" si="45"/>
        <v>0</v>
      </c>
      <c r="I38" s="36">
        <f t="shared" si="39"/>
        <v>0</v>
      </c>
      <c r="J38" s="17"/>
      <c r="K38" s="16">
        <f t="shared" si="40"/>
        <v>0</v>
      </c>
      <c r="L38" s="17"/>
      <c r="M38" s="16">
        <f t="shared" si="41"/>
        <v>0</v>
      </c>
      <c r="N38" s="36">
        <f t="shared" si="42"/>
        <v>0</v>
      </c>
      <c r="O38" s="17"/>
      <c r="P38" s="16">
        <f t="shared" si="36"/>
        <v>0</v>
      </c>
      <c r="Q38" s="17"/>
      <c r="R38" s="16">
        <f t="shared" si="37"/>
        <v>0</v>
      </c>
      <c r="S38" s="36">
        <f t="shared" si="38"/>
        <v>0</v>
      </c>
      <c r="T38" s="17">
        <f t="shared" si="43"/>
        <v>0</v>
      </c>
      <c r="U38" s="39">
        <f t="shared" si="44"/>
        <v>0</v>
      </c>
    </row>
    <row r="39" spans="2:21" s="18" customFormat="1" ht="14.4" thickBot="1" x14ac:dyDescent="0.3">
      <c r="B39" s="16" t="s">
        <v>53</v>
      </c>
      <c r="C39" s="17">
        <v>1000</v>
      </c>
      <c r="D39" s="16">
        <v>78</v>
      </c>
      <c r="E39" s="17"/>
      <c r="F39" s="16">
        <f t="shared" si="46"/>
        <v>0</v>
      </c>
      <c r="G39" s="17"/>
      <c r="H39" s="16">
        <f t="shared" si="45"/>
        <v>0</v>
      </c>
      <c r="I39" s="36">
        <f t="shared" si="39"/>
        <v>0</v>
      </c>
      <c r="J39" s="17"/>
      <c r="K39" s="16">
        <f t="shared" si="40"/>
        <v>0</v>
      </c>
      <c r="L39" s="17"/>
      <c r="M39" s="16">
        <f t="shared" si="41"/>
        <v>0</v>
      </c>
      <c r="N39" s="36">
        <f t="shared" si="42"/>
        <v>0</v>
      </c>
      <c r="O39" s="17"/>
      <c r="P39" s="16">
        <f t="shared" si="36"/>
        <v>0</v>
      </c>
      <c r="Q39" s="17"/>
      <c r="R39" s="16">
        <f t="shared" si="37"/>
        <v>0</v>
      </c>
      <c r="S39" s="36">
        <f t="shared" si="38"/>
        <v>0</v>
      </c>
      <c r="T39" s="17">
        <f t="shared" si="43"/>
        <v>0</v>
      </c>
      <c r="U39" s="39">
        <f t="shared" si="44"/>
        <v>0</v>
      </c>
    </row>
    <row r="40" spans="2:21" s="18" customFormat="1" ht="14.4" thickBot="1" x14ac:dyDescent="0.3">
      <c r="B40" s="19"/>
      <c r="C40" s="20"/>
      <c r="D40" s="21"/>
      <c r="E40" s="22"/>
      <c r="F40" s="23">
        <f>SUM(F30:F39)</f>
        <v>1005</v>
      </c>
      <c r="G40" s="22"/>
      <c r="H40" s="23">
        <f>SUM(H30:H39)</f>
        <v>0</v>
      </c>
      <c r="I40" s="26">
        <f>SUM(I30:I39)</f>
        <v>1005</v>
      </c>
      <c r="J40" s="22"/>
      <c r="K40" s="23">
        <f>SUM(K30:K39)</f>
        <v>0</v>
      </c>
      <c r="L40" s="22"/>
      <c r="M40" s="23">
        <f>SUM(M30:M39)</f>
        <v>0</v>
      </c>
      <c r="N40" s="26">
        <f>SUM(N30:N39)</f>
        <v>0</v>
      </c>
      <c r="O40" s="22"/>
      <c r="P40" s="23">
        <f>SUM(P30:P39)</f>
        <v>1201</v>
      </c>
      <c r="Q40" s="22"/>
      <c r="R40" s="23">
        <f>SUM(R30:R39)</f>
        <v>0</v>
      </c>
      <c r="S40" s="26">
        <f>SUM(S30:S39)</f>
        <v>1201</v>
      </c>
      <c r="T40" s="24"/>
      <c r="U40" s="25">
        <f>SUM(U30:U39)</f>
        <v>2206</v>
      </c>
    </row>
    <row r="41" spans="2:21" ht="17.399999999999999" x14ac:dyDescent="0.3">
      <c r="B41" s="10" t="s">
        <v>23</v>
      </c>
      <c r="C41" s="11"/>
      <c r="D41" s="12"/>
      <c r="E41" s="13">
        <v>2307</v>
      </c>
      <c r="F41" s="14">
        <v>45938</v>
      </c>
      <c r="G41" s="13"/>
      <c r="H41" s="14"/>
      <c r="I41" s="13"/>
      <c r="J41" s="13">
        <v>2339</v>
      </c>
      <c r="K41" s="14">
        <v>45973</v>
      </c>
      <c r="L41" s="13"/>
      <c r="M41" s="14"/>
      <c r="N41" s="15"/>
      <c r="O41" s="13">
        <v>2367</v>
      </c>
      <c r="P41" s="14">
        <v>45998</v>
      </c>
      <c r="Q41" s="13"/>
      <c r="R41" s="14"/>
      <c r="S41" s="15"/>
      <c r="T41" s="15"/>
      <c r="U41" s="15"/>
    </row>
    <row r="42" spans="2:21" s="18" customFormat="1" x14ac:dyDescent="0.25">
      <c r="B42" s="16" t="s">
        <v>13</v>
      </c>
      <c r="C42" s="17">
        <v>1000</v>
      </c>
      <c r="D42" s="16">
        <v>74.22</v>
      </c>
      <c r="E42" s="17"/>
      <c r="F42" s="16">
        <f t="shared" ref="F42:F46" si="47">E42*D42</f>
        <v>0</v>
      </c>
      <c r="G42" s="17"/>
      <c r="H42" s="16">
        <f>G42*D42</f>
        <v>0</v>
      </c>
      <c r="I42" s="36">
        <f>(G42+E42)*D42</f>
        <v>0</v>
      </c>
      <c r="J42" s="17"/>
      <c r="K42" s="16">
        <f>J42*D42</f>
        <v>0</v>
      </c>
      <c r="L42" s="17"/>
      <c r="M42" s="16">
        <f>L42*D42</f>
        <v>0</v>
      </c>
      <c r="N42" s="36">
        <f>(L42+J42)*D42</f>
        <v>0</v>
      </c>
      <c r="O42" s="17"/>
      <c r="P42" s="16">
        <f t="shared" ref="P42:P51" si="48">O42*D42</f>
        <v>0</v>
      </c>
      <c r="Q42" s="17"/>
      <c r="R42" s="16">
        <f t="shared" ref="R42:R51" si="49">Q42*D42</f>
        <v>0</v>
      </c>
      <c r="S42" s="36">
        <f t="shared" ref="S42:S51" si="50">(Q42+O42)*D42</f>
        <v>0</v>
      </c>
      <c r="T42" s="17">
        <f>G42+E42+J42+L42+O42+Q42</f>
        <v>0</v>
      </c>
      <c r="U42" s="39">
        <f>S42+N42+I42</f>
        <v>0</v>
      </c>
    </row>
    <row r="43" spans="2:21" s="18" customFormat="1" x14ac:dyDescent="0.25">
      <c r="B43" s="16" t="s">
        <v>14</v>
      </c>
      <c r="C43" s="17">
        <v>500</v>
      </c>
      <c r="D43" s="16">
        <v>92.8</v>
      </c>
      <c r="E43" s="17">
        <v>2</v>
      </c>
      <c r="F43" s="16">
        <f t="shared" si="47"/>
        <v>185.6</v>
      </c>
      <c r="G43" s="17"/>
      <c r="H43" s="16">
        <f>G43*D43</f>
        <v>0</v>
      </c>
      <c r="I43" s="36">
        <f t="shared" ref="I43:I51" si="51">(G43+E43)*D43</f>
        <v>185.6</v>
      </c>
      <c r="J43" s="17">
        <v>2</v>
      </c>
      <c r="K43" s="16">
        <f t="shared" ref="K43:K51" si="52">J43*D43</f>
        <v>185.6</v>
      </c>
      <c r="L43" s="17"/>
      <c r="M43" s="16">
        <f t="shared" ref="M43:M51" si="53">L43*D43</f>
        <v>0</v>
      </c>
      <c r="N43" s="36">
        <f t="shared" ref="N43:N51" si="54">(L43+J43)*D43</f>
        <v>185.6</v>
      </c>
      <c r="O43" s="17">
        <v>4</v>
      </c>
      <c r="P43" s="16">
        <f t="shared" si="48"/>
        <v>371.2</v>
      </c>
      <c r="Q43" s="17"/>
      <c r="R43" s="16">
        <f t="shared" si="49"/>
        <v>0</v>
      </c>
      <c r="S43" s="36">
        <f t="shared" si="50"/>
        <v>371.2</v>
      </c>
      <c r="T43" s="17">
        <f t="shared" ref="T43:T51" si="55">G43+E43+J43+L43+O43+Q43</f>
        <v>8</v>
      </c>
      <c r="U43" s="39">
        <f t="shared" ref="U43:U51" si="56">S43+N43+I43</f>
        <v>742.4</v>
      </c>
    </row>
    <row r="44" spans="2:21" s="18" customFormat="1" x14ac:dyDescent="0.25">
      <c r="B44" s="16" t="s">
        <v>15</v>
      </c>
      <c r="C44" s="17">
        <v>1000</v>
      </c>
      <c r="D44" s="16">
        <v>74.2</v>
      </c>
      <c r="E44" s="17"/>
      <c r="F44" s="16">
        <f t="shared" si="47"/>
        <v>0</v>
      </c>
      <c r="G44" s="17"/>
      <c r="H44" s="16">
        <f t="shared" ref="H44:H51" si="57">G44*D44</f>
        <v>0</v>
      </c>
      <c r="I44" s="36">
        <f t="shared" si="51"/>
        <v>0</v>
      </c>
      <c r="J44" s="17"/>
      <c r="K44" s="16">
        <f t="shared" si="52"/>
        <v>0</v>
      </c>
      <c r="L44" s="17"/>
      <c r="M44" s="16">
        <f t="shared" si="53"/>
        <v>0</v>
      </c>
      <c r="N44" s="36">
        <f t="shared" si="54"/>
        <v>0</v>
      </c>
      <c r="O44" s="17"/>
      <c r="P44" s="16">
        <f t="shared" si="48"/>
        <v>0</v>
      </c>
      <c r="Q44" s="17"/>
      <c r="R44" s="16">
        <f t="shared" si="49"/>
        <v>0</v>
      </c>
      <c r="S44" s="36">
        <f t="shared" si="50"/>
        <v>0</v>
      </c>
      <c r="T44" s="17">
        <f t="shared" si="55"/>
        <v>0</v>
      </c>
      <c r="U44" s="39">
        <f t="shared" si="56"/>
        <v>0</v>
      </c>
    </row>
    <row r="45" spans="2:21" s="18" customFormat="1" x14ac:dyDescent="0.25">
      <c r="B45" s="16" t="s">
        <v>16</v>
      </c>
      <c r="C45" s="17">
        <v>2000</v>
      </c>
      <c r="D45" s="16">
        <v>701</v>
      </c>
      <c r="E45" s="17"/>
      <c r="F45" s="16">
        <f t="shared" si="47"/>
        <v>0</v>
      </c>
      <c r="G45" s="17"/>
      <c r="H45" s="16">
        <f t="shared" si="57"/>
        <v>0</v>
      </c>
      <c r="I45" s="36">
        <f t="shared" si="51"/>
        <v>0</v>
      </c>
      <c r="J45" s="17"/>
      <c r="K45" s="16">
        <f t="shared" si="52"/>
        <v>0</v>
      </c>
      <c r="L45" s="17"/>
      <c r="M45" s="16">
        <f t="shared" si="53"/>
        <v>0</v>
      </c>
      <c r="N45" s="36">
        <f t="shared" si="54"/>
        <v>0</v>
      </c>
      <c r="O45" s="17"/>
      <c r="P45" s="16">
        <f t="shared" si="48"/>
        <v>0</v>
      </c>
      <c r="Q45" s="17"/>
      <c r="R45" s="16">
        <f t="shared" si="49"/>
        <v>0</v>
      </c>
      <c r="S45" s="36">
        <f t="shared" si="50"/>
        <v>0</v>
      </c>
      <c r="T45" s="17">
        <f t="shared" si="55"/>
        <v>0</v>
      </c>
      <c r="U45" s="39">
        <f t="shared" si="56"/>
        <v>0</v>
      </c>
    </row>
    <row r="46" spans="2:21" s="18" customFormat="1" x14ac:dyDescent="0.25">
      <c r="B46" s="16" t="s">
        <v>17</v>
      </c>
      <c r="C46" s="17">
        <v>500</v>
      </c>
      <c r="D46" s="16">
        <v>33.5</v>
      </c>
      <c r="E46" s="17">
        <v>40</v>
      </c>
      <c r="F46" s="16">
        <f t="shared" si="47"/>
        <v>1340</v>
      </c>
      <c r="G46" s="17"/>
      <c r="H46" s="16">
        <f t="shared" si="57"/>
        <v>0</v>
      </c>
      <c r="I46" s="36">
        <f t="shared" si="51"/>
        <v>1340</v>
      </c>
      <c r="J46" s="17">
        <v>40</v>
      </c>
      <c r="K46" s="16">
        <f t="shared" si="52"/>
        <v>1340</v>
      </c>
      <c r="L46" s="17"/>
      <c r="M46" s="16">
        <f t="shared" si="53"/>
        <v>0</v>
      </c>
      <c r="N46" s="36">
        <f t="shared" si="54"/>
        <v>1340</v>
      </c>
      <c r="O46" s="17">
        <v>40</v>
      </c>
      <c r="P46" s="16">
        <f t="shared" si="48"/>
        <v>1340</v>
      </c>
      <c r="Q46" s="17"/>
      <c r="R46" s="16">
        <f t="shared" si="49"/>
        <v>0</v>
      </c>
      <c r="S46" s="36">
        <f t="shared" si="50"/>
        <v>1340</v>
      </c>
      <c r="T46" s="17">
        <f t="shared" si="55"/>
        <v>120</v>
      </c>
      <c r="U46" s="39">
        <f t="shared" si="56"/>
        <v>4020</v>
      </c>
    </row>
    <row r="47" spans="2:21" s="18" customFormat="1" x14ac:dyDescent="0.25">
      <c r="B47" s="16" t="s">
        <v>18</v>
      </c>
      <c r="C47" s="17">
        <v>500</v>
      </c>
      <c r="D47" s="16">
        <v>49</v>
      </c>
      <c r="E47" s="17">
        <v>2</v>
      </c>
      <c r="F47" s="16">
        <f>E47*D47</f>
        <v>98</v>
      </c>
      <c r="G47" s="17"/>
      <c r="H47" s="16">
        <f t="shared" si="57"/>
        <v>0</v>
      </c>
      <c r="I47" s="36">
        <f t="shared" si="51"/>
        <v>98</v>
      </c>
      <c r="J47" s="17">
        <v>1</v>
      </c>
      <c r="K47" s="16">
        <f t="shared" si="52"/>
        <v>49</v>
      </c>
      <c r="L47" s="17"/>
      <c r="M47" s="16">
        <f t="shared" si="53"/>
        <v>0</v>
      </c>
      <c r="N47" s="36">
        <f t="shared" si="54"/>
        <v>49</v>
      </c>
      <c r="O47" s="17">
        <v>6</v>
      </c>
      <c r="P47" s="16">
        <f t="shared" si="48"/>
        <v>294</v>
      </c>
      <c r="Q47" s="17"/>
      <c r="R47" s="16">
        <f t="shared" si="49"/>
        <v>0</v>
      </c>
      <c r="S47" s="36">
        <f t="shared" si="50"/>
        <v>294</v>
      </c>
      <c r="T47" s="17">
        <f t="shared" si="55"/>
        <v>9</v>
      </c>
      <c r="U47" s="39">
        <f t="shared" si="56"/>
        <v>441</v>
      </c>
    </row>
    <row r="48" spans="2:21" s="18" customFormat="1" x14ac:dyDescent="0.25">
      <c r="B48" s="16" t="s">
        <v>19</v>
      </c>
      <c r="C48" s="17">
        <v>1</v>
      </c>
      <c r="D48" s="16">
        <v>84.5</v>
      </c>
      <c r="E48" s="17"/>
      <c r="F48" s="16">
        <f t="shared" ref="F48:F51" si="58">E48*D48</f>
        <v>0</v>
      </c>
      <c r="G48" s="17"/>
      <c r="H48" s="16">
        <f t="shared" si="57"/>
        <v>0</v>
      </c>
      <c r="I48" s="36">
        <f t="shared" si="51"/>
        <v>0</v>
      </c>
      <c r="J48" s="17"/>
      <c r="K48" s="16">
        <f t="shared" si="52"/>
        <v>0</v>
      </c>
      <c r="L48" s="17"/>
      <c r="M48" s="16">
        <f t="shared" si="53"/>
        <v>0</v>
      </c>
      <c r="N48" s="36">
        <f t="shared" si="54"/>
        <v>0</v>
      </c>
      <c r="O48" s="17"/>
      <c r="P48" s="16">
        <f t="shared" si="48"/>
        <v>0</v>
      </c>
      <c r="Q48" s="17"/>
      <c r="R48" s="16">
        <f t="shared" si="49"/>
        <v>0</v>
      </c>
      <c r="S48" s="36">
        <f t="shared" si="50"/>
        <v>0</v>
      </c>
      <c r="T48" s="17">
        <f t="shared" si="55"/>
        <v>0</v>
      </c>
      <c r="U48" s="39">
        <f t="shared" si="56"/>
        <v>0</v>
      </c>
    </row>
    <row r="49" spans="2:21" s="18" customFormat="1" x14ac:dyDescent="0.25">
      <c r="B49" s="16" t="s">
        <v>20</v>
      </c>
      <c r="C49" s="17">
        <v>500</v>
      </c>
      <c r="D49" s="16">
        <v>72.2</v>
      </c>
      <c r="E49" s="17"/>
      <c r="F49" s="16">
        <f t="shared" si="58"/>
        <v>0</v>
      </c>
      <c r="G49" s="17"/>
      <c r="H49" s="16">
        <f t="shared" si="57"/>
        <v>0</v>
      </c>
      <c r="I49" s="36">
        <f t="shared" si="51"/>
        <v>0</v>
      </c>
      <c r="J49" s="17"/>
      <c r="K49" s="16">
        <f t="shared" si="52"/>
        <v>0</v>
      </c>
      <c r="L49" s="17"/>
      <c r="M49" s="16">
        <f t="shared" si="53"/>
        <v>0</v>
      </c>
      <c r="N49" s="36">
        <f t="shared" si="54"/>
        <v>0</v>
      </c>
      <c r="O49" s="17"/>
      <c r="P49" s="16">
        <f t="shared" si="48"/>
        <v>0</v>
      </c>
      <c r="Q49" s="17"/>
      <c r="R49" s="16">
        <f t="shared" si="49"/>
        <v>0</v>
      </c>
      <c r="S49" s="36">
        <f t="shared" si="50"/>
        <v>0</v>
      </c>
      <c r="T49" s="17">
        <f t="shared" si="55"/>
        <v>0</v>
      </c>
      <c r="U49" s="39">
        <f t="shared" si="56"/>
        <v>0</v>
      </c>
    </row>
    <row r="50" spans="2:21" s="18" customFormat="1" x14ac:dyDescent="0.25">
      <c r="B50" s="16" t="s">
        <v>44</v>
      </c>
      <c r="C50" s="17">
        <v>1000</v>
      </c>
      <c r="D50" s="16">
        <v>180</v>
      </c>
      <c r="E50" s="17">
        <v>2</v>
      </c>
      <c r="F50" s="16">
        <f t="shared" si="58"/>
        <v>360</v>
      </c>
      <c r="G50" s="17"/>
      <c r="H50" s="16">
        <f t="shared" si="57"/>
        <v>0</v>
      </c>
      <c r="I50" s="36">
        <f t="shared" si="51"/>
        <v>360</v>
      </c>
      <c r="J50" s="17">
        <v>1</v>
      </c>
      <c r="K50" s="16">
        <f t="shared" si="52"/>
        <v>180</v>
      </c>
      <c r="L50" s="17"/>
      <c r="M50" s="16">
        <f t="shared" si="53"/>
        <v>0</v>
      </c>
      <c r="N50" s="36">
        <f t="shared" si="54"/>
        <v>180</v>
      </c>
      <c r="O50" s="17">
        <v>1</v>
      </c>
      <c r="P50" s="16">
        <f t="shared" si="48"/>
        <v>180</v>
      </c>
      <c r="Q50" s="17"/>
      <c r="R50" s="16">
        <f t="shared" si="49"/>
        <v>0</v>
      </c>
      <c r="S50" s="36">
        <f t="shared" si="50"/>
        <v>180</v>
      </c>
      <c r="T50" s="17">
        <f t="shared" si="55"/>
        <v>4</v>
      </c>
      <c r="U50" s="39">
        <f t="shared" si="56"/>
        <v>720</v>
      </c>
    </row>
    <row r="51" spans="2:21" s="18" customFormat="1" ht="14.4" thickBot="1" x14ac:dyDescent="0.3">
      <c r="B51" s="16" t="s">
        <v>53</v>
      </c>
      <c r="C51" s="17">
        <v>1000</v>
      </c>
      <c r="D51" s="16">
        <v>78</v>
      </c>
      <c r="E51" s="17">
        <v>1</v>
      </c>
      <c r="F51" s="16">
        <f t="shared" si="58"/>
        <v>78</v>
      </c>
      <c r="G51" s="17"/>
      <c r="H51" s="16">
        <f t="shared" si="57"/>
        <v>0</v>
      </c>
      <c r="I51" s="36">
        <f t="shared" si="51"/>
        <v>78</v>
      </c>
      <c r="J51" s="17"/>
      <c r="K51" s="16">
        <f t="shared" si="52"/>
        <v>0</v>
      </c>
      <c r="L51" s="17"/>
      <c r="M51" s="16">
        <f t="shared" si="53"/>
        <v>0</v>
      </c>
      <c r="N51" s="36">
        <f t="shared" si="54"/>
        <v>0</v>
      </c>
      <c r="O51" s="17"/>
      <c r="P51" s="16">
        <f t="shared" si="48"/>
        <v>0</v>
      </c>
      <c r="Q51" s="17"/>
      <c r="R51" s="16">
        <f t="shared" si="49"/>
        <v>0</v>
      </c>
      <c r="S51" s="36">
        <f t="shared" si="50"/>
        <v>0</v>
      </c>
      <c r="T51" s="17">
        <f t="shared" si="55"/>
        <v>1</v>
      </c>
      <c r="U51" s="39">
        <f t="shared" si="56"/>
        <v>78</v>
      </c>
    </row>
    <row r="52" spans="2:21" s="18" customFormat="1" ht="14.4" thickBot="1" x14ac:dyDescent="0.3">
      <c r="B52" s="19"/>
      <c r="C52" s="20"/>
      <c r="D52" s="21"/>
      <c r="E52" s="22"/>
      <c r="F52" s="23">
        <f>SUM(F42:F51)</f>
        <v>2061.6</v>
      </c>
      <c r="G52" s="22"/>
      <c r="H52" s="23">
        <f>SUM(H42:H51)</f>
        <v>0</v>
      </c>
      <c r="I52" s="26">
        <f>SUM(I42:I51)</f>
        <v>2061.6</v>
      </c>
      <c r="J52" s="22"/>
      <c r="K52" s="23">
        <f>SUM(K42:K51)</f>
        <v>1754.6</v>
      </c>
      <c r="L52" s="22"/>
      <c r="M52" s="23">
        <f>SUM(M42:M51)</f>
        <v>0</v>
      </c>
      <c r="N52" s="26">
        <f>SUM(N42:N51)</f>
        <v>1754.6</v>
      </c>
      <c r="O52" s="22"/>
      <c r="P52" s="23">
        <f>SUM(P42:P51)</f>
        <v>2185.1999999999998</v>
      </c>
      <c r="Q52" s="22"/>
      <c r="R52" s="23">
        <f>SUM(R42:R51)</f>
        <v>0</v>
      </c>
      <c r="S52" s="26">
        <f>SUM(S42:S51)</f>
        <v>2185.1999999999998</v>
      </c>
      <c r="T52" s="24"/>
      <c r="U52" s="25">
        <f>SUM(U42:U51)</f>
        <v>6001.4</v>
      </c>
    </row>
    <row r="53" spans="2:21" ht="17.399999999999999" x14ac:dyDescent="0.3">
      <c r="B53" s="10" t="s">
        <v>24</v>
      </c>
      <c r="C53" s="11"/>
      <c r="D53" s="12"/>
      <c r="E53" s="13"/>
      <c r="F53" s="14"/>
      <c r="G53" s="13"/>
      <c r="H53" s="14"/>
      <c r="I53" s="13"/>
      <c r="J53" s="13">
        <v>2336</v>
      </c>
      <c r="K53" s="14">
        <v>45972</v>
      </c>
      <c r="L53" s="13"/>
      <c r="M53" s="14"/>
      <c r="N53" s="15"/>
      <c r="O53" s="13">
        <v>2385</v>
      </c>
      <c r="P53" s="14">
        <v>46015</v>
      </c>
      <c r="Q53" s="13"/>
      <c r="R53" s="14"/>
      <c r="S53" s="15"/>
      <c r="T53" s="15"/>
      <c r="U53" s="15"/>
    </row>
    <row r="54" spans="2:21" s="18" customFormat="1" x14ac:dyDescent="0.25">
      <c r="B54" s="16" t="s">
        <v>13</v>
      </c>
      <c r="C54" s="17">
        <v>1000</v>
      </c>
      <c r="D54" s="16">
        <v>74.22</v>
      </c>
      <c r="E54" s="17"/>
      <c r="F54" s="16">
        <f t="shared" ref="F54:F58" si="59">E54*D54</f>
        <v>0</v>
      </c>
      <c r="G54" s="17"/>
      <c r="H54" s="16">
        <f>G54*D54</f>
        <v>0</v>
      </c>
      <c r="I54" s="36">
        <f>(G54+E54)*D54</f>
        <v>0</v>
      </c>
      <c r="J54" s="17"/>
      <c r="K54" s="16">
        <f>J54*D54</f>
        <v>0</v>
      </c>
      <c r="L54" s="17"/>
      <c r="M54" s="16">
        <f>L54*D54</f>
        <v>0</v>
      </c>
      <c r="N54" s="36">
        <f>(L54+J54)*D54</f>
        <v>0</v>
      </c>
      <c r="O54" s="17"/>
      <c r="P54" s="16">
        <f t="shared" ref="P54:P63" si="60">O54*D54</f>
        <v>0</v>
      </c>
      <c r="Q54" s="17"/>
      <c r="R54" s="16">
        <f t="shared" ref="R54:R63" si="61">Q54*D54</f>
        <v>0</v>
      </c>
      <c r="S54" s="36">
        <f t="shared" ref="S54:S63" si="62">(Q54+O54)*D54</f>
        <v>0</v>
      </c>
      <c r="T54" s="17">
        <f>G54+E54+J54+L54+O54+Q54</f>
        <v>0</v>
      </c>
      <c r="U54" s="39">
        <f>S54+N54+I54</f>
        <v>0</v>
      </c>
    </row>
    <row r="55" spans="2:21" s="18" customFormat="1" x14ac:dyDescent="0.25">
      <c r="B55" s="16" t="s">
        <v>14</v>
      </c>
      <c r="C55" s="17">
        <v>500</v>
      </c>
      <c r="D55" s="16">
        <v>92.8</v>
      </c>
      <c r="E55" s="17"/>
      <c r="F55" s="16">
        <f t="shared" si="59"/>
        <v>0</v>
      </c>
      <c r="G55" s="17"/>
      <c r="H55" s="16">
        <f>G55*D55</f>
        <v>0</v>
      </c>
      <c r="I55" s="36">
        <f t="shared" ref="I55:I63" si="63">(G55+E55)*D55</f>
        <v>0</v>
      </c>
      <c r="J55" s="17">
        <v>3</v>
      </c>
      <c r="K55" s="16">
        <f t="shared" ref="K55:K63" si="64">J55*D55</f>
        <v>278.39999999999998</v>
      </c>
      <c r="L55" s="17"/>
      <c r="M55" s="16">
        <f t="shared" ref="M55:M63" si="65">L55*D55</f>
        <v>0</v>
      </c>
      <c r="N55" s="36">
        <f t="shared" ref="N55:N63" si="66">(L55+J55)*D55</f>
        <v>278.39999999999998</v>
      </c>
      <c r="O55" s="17">
        <v>2</v>
      </c>
      <c r="P55" s="16">
        <f t="shared" si="60"/>
        <v>185.6</v>
      </c>
      <c r="Q55" s="17"/>
      <c r="R55" s="16">
        <f t="shared" si="61"/>
        <v>0</v>
      </c>
      <c r="S55" s="36">
        <f t="shared" si="62"/>
        <v>185.6</v>
      </c>
      <c r="T55" s="17">
        <f t="shared" ref="T55:T63" si="67">G55+E55+J55+L55+O55+Q55</f>
        <v>5</v>
      </c>
      <c r="U55" s="39">
        <f t="shared" ref="U55:U63" si="68">S55+N55+I55</f>
        <v>464</v>
      </c>
    </row>
    <row r="56" spans="2:21" s="18" customFormat="1" x14ac:dyDescent="0.25">
      <c r="B56" s="16" t="s">
        <v>15</v>
      </c>
      <c r="C56" s="17">
        <v>1000</v>
      </c>
      <c r="D56" s="16">
        <v>74.2</v>
      </c>
      <c r="E56" s="17"/>
      <c r="F56" s="16">
        <f t="shared" si="59"/>
        <v>0</v>
      </c>
      <c r="G56" s="17"/>
      <c r="H56" s="16">
        <f t="shared" ref="H56:H63" si="69">G56*D56</f>
        <v>0</v>
      </c>
      <c r="I56" s="36">
        <f t="shared" si="63"/>
        <v>0</v>
      </c>
      <c r="J56" s="17"/>
      <c r="K56" s="16">
        <f t="shared" si="64"/>
        <v>0</v>
      </c>
      <c r="L56" s="17"/>
      <c r="M56" s="16">
        <f t="shared" si="65"/>
        <v>0</v>
      </c>
      <c r="N56" s="36">
        <f t="shared" si="66"/>
        <v>0</v>
      </c>
      <c r="O56" s="17"/>
      <c r="P56" s="16">
        <f t="shared" si="60"/>
        <v>0</v>
      </c>
      <c r="Q56" s="17"/>
      <c r="R56" s="16">
        <f t="shared" si="61"/>
        <v>0</v>
      </c>
      <c r="S56" s="36">
        <f t="shared" si="62"/>
        <v>0</v>
      </c>
      <c r="T56" s="17">
        <f t="shared" si="67"/>
        <v>0</v>
      </c>
      <c r="U56" s="39">
        <f t="shared" si="68"/>
        <v>0</v>
      </c>
    </row>
    <row r="57" spans="2:21" s="18" customFormat="1" x14ac:dyDescent="0.25">
      <c r="B57" s="16" t="s">
        <v>16</v>
      </c>
      <c r="C57" s="17">
        <v>2000</v>
      </c>
      <c r="D57" s="16">
        <v>701</v>
      </c>
      <c r="E57" s="17"/>
      <c r="F57" s="16">
        <f t="shared" si="59"/>
        <v>0</v>
      </c>
      <c r="G57" s="17"/>
      <c r="H57" s="16">
        <f t="shared" si="69"/>
        <v>0</v>
      </c>
      <c r="I57" s="36">
        <f t="shared" si="63"/>
        <v>0</v>
      </c>
      <c r="J57" s="17"/>
      <c r="K57" s="16">
        <f t="shared" si="64"/>
        <v>0</v>
      </c>
      <c r="L57" s="17"/>
      <c r="M57" s="16">
        <f t="shared" si="65"/>
        <v>0</v>
      </c>
      <c r="N57" s="36">
        <f t="shared" si="66"/>
        <v>0</v>
      </c>
      <c r="O57" s="17"/>
      <c r="P57" s="16">
        <f t="shared" si="60"/>
        <v>0</v>
      </c>
      <c r="Q57" s="17"/>
      <c r="R57" s="16">
        <f t="shared" si="61"/>
        <v>0</v>
      </c>
      <c r="S57" s="36">
        <f t="shared" si="62"/>
        <v>0</v>
      </c>
      <c r="T57" s="17">
        <f t="shared" si="67"/>
        <v>0</v>
      </c>
      <c r="U57" s="39">
        <f t="shared" si="68"/>
        <v>0</v>
      </c>
    </row>
    <row r="58" spans="2:21" s="18" customFormat="1" x14ac:dyDescent="0.25">
      <c r="B58" s="16" t="s">
        <v>17</v>
      </c>
      <c r="C58" s="17">
        <v>500</v>
      </c>
      <c r="D58" s="16">
        <v>33.5</v>
      </c>
      <c r="E58" s="17"/>
      <c r="F58" s="16">
        <f t="shared" si="59"/>
        <v>0</v>
      </c>
      <c r="G58" s="17"/>
      <c r="H58" s="16">
        <f t="shared" si="69"/>
        <v>0</v>
      </c>
      <c r="I58" s="36">
        <f t="shared" si="63"/>
        <v>0</v>
      </c>
      <c r="J58" s="17">
        <v>30</v>
      </c>
      <c r="K58" s="16">
        <f t="shared" si="64"/>
        <v>1005</v>
      </c>
      <c r="L58" s="17"/>
      <c r="M58" s="16">
        <f t="shared" si="65"/>
        <v>0</v>
      </c>
      <c r="N58" s="36">
        <f t="shared" si="66"/>
        <v>1005</v>
      </c>
      <c r="O58" s="17">
        <v>20</v>
      </c>
      <c r="P58" s="16">
        <f t="shared" si="60"/>
        <v>670</v>
      </c>
      <c r="Q58" s="17"/>
      <c r="R58" s="16">
        <f t="shared" si="61"/>
        <v>0</v>
      </c>
      <c r="S58" s="36">
        <f t="shared" si="62"/>
        <v>670</v>
      </c>
      <c r="T58" s="17">
        <f t="shared" si="67"/>
        <v>50</v>
      </c>
      <c r="U58" s="39">
        <f t="shared" si="68"/>
        <v>1675</v>
      </c>
    </row>
    <row r="59" spans="2:21" s="18" customFormat="1" x14ac:dyDescent="0.25">
      <c r="B59" s="16" t="s">
        <v>18</v>
      </c>
      <c r="C59" s="17">
        <v>500</v>
      </c>
      <c r="D59" s="16">
        <v>49</v>
      </c>
      <c r="E59" s="17"/>
      <c r="F59" s="16">
        <f>E59*D59</f>
        <v>0</v>
      </c>
      <c r="G59" s="17"/>
      <c r="H59" s="16">
        <f t="shared" si="69"/>
        <v>0</v>
      </c>
      <c r="I59" s="36">
        <f t="shared" si="63"/>
        <v>0</v>
      </c>
      <c r="J59" s="17">
        <v>3</v>
      </c>
      <c r="K59" s="16">
        <f t="shared" si="64"/>
        <v>147</v>
      </c>
      <c r="L59" s="17"/>
      <c r="M59" s="16">
        <f t="shared" si="65"/>
        <v>0</v>
      </c>
      <c r="N59" s="36">
        <f t="shared" si="66"/>
        <v>147</v>
      </c>
      <c r="O59" s="17">
        <v>1</v>
      </c>
      <c r="P59" s="16">
        <f t="shared" si="60"/>
        <v>49</v>
      </c>
      <c r="Q59" s="17"/>
      <c r="R59" s="16">
        <f t="shared" si="61"/>
        <v>0</v>
      </c>
      <c r="S59" s="36">
        <f t="shared" si="62"/>
        <v>49</v>
      </c>
      <c r="T59" s="17">
        <f t="shared" si="67"/>
        <v>4</v>
      </c>
      <c r="U59" s="39">
        <f t="shared" si="68"/>
        <v>196</v>
      </c>
    </row>
    <row r="60" spans="2:21" s="18" customFormat="1" x14ac:dyDescent="0.25">
      <c r="B60" s="16" t="s">
        <v>19</v>
      </c>
      <c r="C60" s="17">
        <v>1</v>
      </c>
      <c r="D60" s="16">
        <v>84.5</v>
      </c>
      <c r="E60" s="17"/>
      <c r="F60" s="16">
        <f t="shared" ref="F60:F63" si="70">E60*D60</f>
        <v>0</v>
      </c>
      <c r="G60" s="17"/>
      <c r="H60" s="16">
        <f t="shared" si="69"/>
        <v>0</v>
      </c>
      <c r="I60" s="36">
        <f t="shared" si="63"/>
        <v>0</v>
      </c>
      <c r="J60" s="17"/>
      <c r="K60" s="16">
        <f t="shared" si="64"/>
        <v>0</v>
      </c>
      <c r="L60" s="17"/>
      <c r="M60" s="16">
        <f t="shared" si="65"/>
        <v>0</v>
      </c>
      <c r="N60" s="36">
        <f t="shared" si="66"/>
        <v>0</v>
      </c>
      <c r="O60" s="17"/>
      <c r="P60" s="16">
        <f t="shared" si="60"/>
        <v>0</v>
      </c>
      <c r="Q60" s="17"/>
      <c r="R60" s="16">
        <f t="shared" si="61"/>
        <v>0</v>
      </c>
      <c r="S60" s="36">
        <f t="shared" si="62"/>
        <v>0</v>
      </c>
      <c r="T60" s="17">
        <f t="shared" si="67"/>
        <v>0</v>
      </c>
      <c r="U60" s="39">
        <f t="shared" si="68"/>
        <v>0</v>
      </c>
    </row>
    <row r="61" spans="2:21" s="18" customFormat="1" x14ac:dyDescent="0.25">
      <c r="B61" s="16" t="s">
        <v>20</v>
      </c>
      <c r="C61" s="17">
        <v>500</v>
      </c>
      <c r="D61" s="16">
        <v>72.2</v>
      </c>
      <c r="E61" s="17"/>
      <c r="F61" s="16">
        <f t="shared" si="70"/>
        <v>0</v>
      </c>
      <c r="G61" s="17"/>
      <c r="H61" s="16">
        <f t="shared" si="69"/>
        <v>0</v>
      </c>
      <c r="I61" s="36">
        <f t="shared" si="63"/>
        <v>0</v>
      </c>
      <c r="J61" s="17"/>
      <c r="K61" s="16">
        <f t="shared" si="64"/>
        <v>0</v>
      </c>
      <c r="L61" s="17"/>
      <c r="M61" s="16">
        <f t="shared" si="65"/>
        <v>0</v>
      </c>
      <c r="N61" s="36">
        <f t="shared" si="66"/>
        <v>0</v>
      </c>
      <c r="O61" s="17"/>
      <c r="P61" s="16">
        <f t="shared" si="60"/>
        <v>0</v>
      </c>
      <c r="Q61" s="17"/>
      <c r="R61" s="16">
        <f t="shared" si="61"/>
        <v>0</v>
      </c>
      <c r="S61" s="36">
        <f t="shared" si="62"/>
        <v>0</v>
      </c>
      <c r="T61" s="17">
        <f t="shared" si="67"/>
        <v>0</v>
      </c>
      <c r="U61" s="39">
        <f t="shared" si="68"/>
        <v>0</v>
      </c>
    </row>
    <row r="62" spans="2:21" s="18" customFormat="1" x14ac:dyDescent="0.25">
      <c r="B62" s="16" t="s">
        <v>44</v>
      </c>
      <c r="C62" s="17">
        <v>1000</v>
      </c>
      <c r="D62" s="16">
        <v>180</v>
      </c>
      <c r="E62" s="17"/>
      <c r="F62" s="16">
        <f t="shared" si="70"/>
        <v>0</v>
      </c>
      <c r="G62" s="17"/>
      <c r="H62" s="16">
        <f t="shared" si="69"/>
        <v>0</v>
      </c>
      <c r="I62" s="36">
        <f t="shared" si="63"/>
        <v>0</v>
      </c>
      <c r="J62" s="17"/>
      <c r="K62" s="16">
        <f t="shared" si="64"/>
        <v>0</v>
      </c>
      <c r="L62" s="17"/>
      <c r="M62" s="16">
        <f t="shared" si="65"/>
        <v>0</v>
      </c>
      <c r="N62" s="36">
        <f t="shared" si="66"/>
        <v>0</v>
      </c>
      <c r="O62" s="17">
        <v>1</v>
      </c>
      <c r="P62" s="16">
        <f t="shared" si="60"/>
        <v>180</v>
      </c>
      <c r="Q62" s="17"/>
      <c r="R62" s="16">
        <f t="shared" si="61"/>
        <v>0</v>
      </c>
      <c r="S62" s="36">
        <f t="shared" si="62"/>
        <v>180</v>
      </c>
      <c r="T62" s="17">
        <f t="shared" si="67"/>
        <v>1</v>
      </c>
      <c r="U62" s="39">
        <f t="shared" si="68"/>
        <v>180</v>
      </c>
    </row>
    <row r="63" spans="2:21" s="18" customFormat="1" ht="14.4" thickBot="1" x14ac:dyDescent="0.3">
      <c r="B63" s="16" t="s">
        <v>53</v>
      </c>
      <c r="C63" s="17">
        <v>1000</v>
      </c>
      <c r="D63" s="16">
        <v>78</v>
      </c>
      <c r="E63" s="17"/>
      <c r="F63" s="16">
        <f t="shared" si="70"/>
        <v>0</v>
      </c>
      <c r="G63" s="17"/>
      <c r="H63" s="16">
        <f t="shared" si="69"/>
        <v>0</v>
      </c>
      <c r="I63" s="36">
        <f t="shared" si="63"/>
        <v>0</v>
      </c>
      <c r="J63" s="17"/>
      <c r="K63" s="16">
        <f t="shared" si="64"/>
        <v>0</v>
      </c>
      <c r="L63" s="17"/>
      <c r="M63" s="16">
        <f t="shared" si="65"/>
        <v>0</v>
      </c>
      <c r="N63" s="36">
        <f t="shared" si="66"/>
        <v>0</v>
      </c>
      <c r="O63" s="17"/>
      <c r="P63" s="16">
        <f t="shared" si="60"/>
        <v>0</v>
      </c>
      <c r="Q63" s="17"/>
      <c r="R63" s="16">
        <f t="shared" si="61"/>
        <v>0</v>
      </c>
      <c r="S63" s="36">
        <f t="shared" si="62"/>
        <v>0</v>
      </c>
      <c r="T63" s="17">
        <f t="shared" si="67"/>
        <v>0</v>
      </c>
      <c r="U63" s="39">
        <f t="shared" si="68"/>
        <v>0</v>
      </c>
    </row>
    <row r="64" spans="2:21" s="18" customFormat="1" ht="14.4" thickBot="1" x14ac:dyDescent="0.3">
      <c r="B64" s="19"/>
      <c r="C64" s="20"/>
      <c r="D64" s="21"/>
      <c r="E64" s="22"/>
      <c r="F64" s="23">
        <f>SUM(F54:F63)</f>
        <v>0</v>
      </c>
      <c r="G64" s="22"/>
      <c r="H64" s="23">
        <f>SUM(H54:H63)</f>
        <v>0</v>
      </c>
      <c r="I64" s="26">
        <f>SUM(I54:I63)</f>
        <v>0</v>
      </c>
      <c r="J64" s="22"/>
      <c r="K64" s="23">
        <f>SUM(K54:K63)</f>
        <v>1430.4</v>
      </c>
      <c r="L64" s="22"/>
      <c r="M64" s="23">
        <f>SUM(M54:M63)</f>
        <v>0</v>
      </c>
      <c r="N64" s="26">
        <f>SUM(N54:N63)</f>
        <v>1430.4</v>
      </c>
      <c r="O64" s="22"/>
      <c r="P64" s="23">
        <f>SUM(P54:P63)</f>
        <v>1084.5999999999999</v>
      </c>
      <c r="Q64" s="22"/>
      <c r="R64" s="23">
        <f>SUM(R54:R63)</f>
        <v>0</v>
      </c>
      <c r="S64" s="26">
        <f>SUM(S54:S63)</f>
        <v>1084.5999999999999</v>
      </c>
      <c r="T64" s="24"/>
      <c r="U64" s="25">
        <f>SUM(U54:U63)</f>
        <v>2515</v>
      </c>
    </row>
    <row r="65" spans="2:21" ht="17.399999999999999" x14ac:dyDescent="0.3">
      <c r="B65" s="10" t="s">
        <v>25</v>
      </c>
      <c r="C65" s="11"/>
      <c r="D65" s="12"/>
      <c r="E65" s="13">
        <v>2316</v>
      </c>
      <c r="F65" s="14">
        <v>45946</v>
      </c>
      <c r="G65" s="13"/>
      <c r="H65" s="14"/>
      <c r="I65" s="13"/>
      <c r="J65" s="13">
        <v>2334</v>
      </c>
      <c r="K65" s="14">
        <v>45970</v>
      </c>
      <c r="L65" s="13"/>
      <c r="M65" s="14"/>
      <c r="N65" s="15"/>
      <c r="O65" s="13">
        <v>2364</v>
      </c>
      <c r="P65" s="14">
        <v>45994</v>
      </c>
      <c r="Q65" s="13"/>
      <c r="R65" s="14"/>
      <c r="S65" s="15"/>
      <c r="T65" s="15"/>
      <c r="U65" s="15"/>
    </row>
    <row r="66" spans="2:21" s="18" customFormat="1" x14ac:dyDescent="0.25">
      <c r="B66" s="16" t="s">
        <v>62</v>
      </c>
      <c r="C66" s="17">
        <v>1000</v>
      </c>
      <c r="D66" s="16">
        <v>74.23</v>
      </c>
      <c r="E66" s="17">
        <v>4</v>
      </c>
      <c r="F66" s="16">
        <f t="shared" ref="F66:F70" si="71">E66*D66</f>
        <v>296.92</v>
      </c>
      <c r="G66" s="17"/>
      <c r="H66" s="16">
        <f t="shared" ref="H66:H76" si="72">G66*D66</f>
        <v>0</v>
      </c>
      <c r="I66" s="36">
        <f t="shared" ref="I66:I76" si="73">(G66+E66)*D66</f>
        <v>296.92</v>
      </c>
      <c r="J66" s="17">
        <v>2</v>
      </c>
      <c r="K66" s="16">
        <f t="shared" ref="K66:K76" si="74">J66*D66</f>
        <v>148.46</v>
      </c>
      <c r="L66" s="17"/>
      <c r="M66" s="16">
        <f t="shared" ref="M66:M76" si="75">L66*D66</f>
        <v>0</v>
      </c>
      <c r="N66" s="36">
        <f t="shared" ref="N66:N76" si="76">(L66+J66)*D66</f>
        <v>148.46</v>
      </c>
      <c r="O66" s="17"/>
      <c r="P66" s="16">
        <f t="shared" ref="P66:P76" si="77">O66*D66</f>
        <v>0</v>
      </c>
      <c r="Q66" s="17"/>
      <c r="R66" s="16">
        <f t="shared" ref="R66:R76" si="78">Q66*D66</f>
        <v>0</v>
      </c>
      <c r="S66" s="36">
        <f t="shared" ref="S66:S76" si="79">(Q66+O66)*D66</f>
        <v>0</v>
      </c>
      <c r="T66" s="17">
        <f>G66+E66+J66+L66+O66+Q66</f>
        <v>6</v>
      </c>
      <c r="U66" s="39">
        <f t="shared" ref="U66:U76" si="80">S66+N66+I66</f>
        <v>445.38</v>
      </c>
    </row>
    <row r="67" spans="2:21" s="18" customFormat="1" x14ac:dyDescent="0.25">
      <c r="B67" s="16" t="s">
        <v>63</v>
      </c>
      <c r="C67" s="17">
        <v>1000</v>
      </c>
      <c r="D67" s="16">
        <v>74.22</v>
      </c>
      <c r="E67" s="17">
        <v>4</v>
      </c>
      <c r="F67" s="16">
        <f t="shared" ref="F67:F68" si="81">E67*D67</f>
        <v>296.88</v>
      </c>
      <c r="G67" s="17"/>
      <c r="H67" s="16">
        <f t="shared" ref="H67:H68" si="82">G67*D67</f>
        <v>0</v>
      </c>
      <c r="I67" s="36">
        <f t="shared" ref="I67:I68" si="83">(G67+E67)*D67</f>
        <v>296.88</v>
      </c>
      <c r="J67" s="17">
        <v>2</v>
      </c>
      <c r="K67" s="16">
        <f t="shared" ref="K67:K68" si="84">J67*D67</f>
        <v>148.44</v>
      </c>
      <c r="L67" s="17"/>
      <c r="M67" s="16">
        <f t="shared" ref="M67:M68" si="85">L67*D67</f>
        <v>0</v>
      </c>
      <c r="N67" s="36">
        <f t="shared" ref="N67:N68" si="86">(L67+J67)*D67</f>
        <v>148.44</v>
      </c>
      <c r="O67" s="17"/>
      <c r="P67" s="16">
        <f t="shared" ref="P67:P68" si="87">O67*D67</f>
        <v>0</v>
      </c>
      <c r="Q67" s="17"/>
      <c r="R67" s="16">
        <f t="shared" ref="R67:R68" si="88">Q67*D67</f>
        <v>0</v>
      </c>
      <c r="S67" s="36">
        <f t="shared" ref="S67:S68" si="89">(Q67+O67)*D67</f>
        <v>0</v>
      </c>
      <c r="T67" s="17">
        <f t="shared" ref="T67:T68" si="90">G67+E67+J67+L67+O67+Q67</f>
        <v>6</v>
      </c>
      <c r="U67" s="39">
        <f t="shared" ref="U67:U68" si="91">S67+N67+I67</f>
        <v>445.32</v>
      </c>
    </row>
    <row r="68" spans="2:21" s="18" customFormat="1" x14ac:dyDescent="0.25">
      <c r="B68" s="16" t="s">
        <v>64</v>
      </c>
      <c r="C68" s="17">
        <v>1000</v>
      </c>
      <c r="D68" s="16">
        <v>74.23</v>
      </c>
      <c r="E68" s="17">
        <v>2</v>
      </c>
      <c r="F68" s="16">
        <f t="shared" si="81"/>
        <v>148.46</v>
      </c>
      <c r="G68" s="17"/>
      <c r="H68" s="16">
        <f t="shared" si="82"/>
        <v>0</v>
      </c>
      <c r="I68" s="36">
        <f t="shared" si="83"/>
        <v>148.46</v>
      </c>
      <c r="J68" s="17"/>
      <c r="K68" s="16">
        <f t="shared" si="84"/>
        <v>0</v>
      </c>
      <c r="L68" s="17"/>
      <c r="M68" s="16">
        <f t="shared" si="85"/>
        <v>0</v>
      </c>
      <c r="N68" s="36">
        <f t="shared" si="86"/>
        <v>0</v>
      </c>
      <c r="O68" s="17">
        <v>2</v>
      </c>
      <c r="P68" s="16">
        <f t="shared" si="87"/>
        <v>148.46</v>
      </c>
      <c r="Q68" s="17"/>
      <c r="R68" s="16">
        <f t="shared" si="88"/>
        <v>0</v>
      </c>
      <c r="S68" s="36">
        <f t="shared" si="89"/>
        <v>148.46</v>
      </c>
      <c r="T68" s="17">
        <f t="shared" si="90"/>
        <v>4</v>
      </c>
      <c r="U68" s="39">
        <f t="shared" si="91"/>
        <v>296.92</v>
      </c>
    </row>
    <row r="69" spans="2:21" s="18" customFormat="1" x14ac:dyDescent="0.25">
      <c r="B69" s="16" t="s">
        <v>15</v>
      </c>
      <c r="C69" s="17">
        <v>1000</v>
      </c>
      <c r="D69" s="16">
        <v>74.22</v>
      </c>
      <c r="E69" s="17"/>
      <c r="F69" s="16">
        <f t="shared" si="71"/>
        <v>0</v>
      </c>
      <c r="G69" s="17"/>
      <c r="H69" s="16">
        <f t="shared" si="72"/>
        <v>0</v>
      </c>
      <c r="I69" s="36">
        <f t="shared" si="73"/>
        <v>0</v>
      </c>
      <c r="J69" s="17"/>
      <c r="K69" s="16">
        <f t="shared" si="74"/>
        <v>0</v>
      </c>
      <c r="L69" s="17"/>
      <c r="M69" s="16">
        <f t="shared" si="75"/>
        <v>0</v>
      </c>
      <c r="N69" s="36">
        <f t="shared" si="76"/>
        <v>0</v>
      </c>
      <c r="O69" s="17"/>
      <c r="P69" s="16">
        <f t="shared" si="77"/>
        <v>0</v>
      </c>
      <c r="Q69" s="17"/>
      <c r="R69" s="16">
        <f t="shared" si="78"/>
        <v>0</v>
      </c>
      <c r="S69" s="36">
        <f t="shared" si="79"/>
        <v>0</v>
      </c>
      <c r="T69" s="17">
        <f t="shared" ref="T69:T76" si="92">G69+E69+J69+L69+O69+Q69</f>
        <v>0</v>
      </c>
      <c r="U69" s="39">
        <f t="shared" si="80"/>
        <v>0</v>
      </c>
    </row>
    <row r="70" spans="2:21" s="18" customFormat="1" x14ac:dyDescent="0.25">
      <c r="B70" s="16" t="s">
        <v>17</v>
      </c>
      <c r="C70" s="17">
        <v>500</v>
      </c>
      <c r="D70" s="16">
        <v>33.5</v>
      </c>
      <c r="E70" s="17">
        <v>40</v>
      </c>
      <c r="F70" s="16">
        <f t="shared" si="71"/>
        <v>1340</v>
      </c>
      <c r="G70" s="17"/>
      <c r="H70" s="16">
        <f t="shared" si="72"/>
        <v>0</v>
      </c>
      <c r="I70" s="36">
        <f t="shared" si="73"/>
        <v>1340</v>
      </c>
      <c r="J70" s="17">
        <v>40</v>
      </c>
      <c r="K70" s="16">
        <f t="shared" si="74"/>
        <v>1340</v>
      </c>
      <c r="L70" s="17"/>
      <c r="M70" s="16">
        <f t="shared" si="75"/>
        <v>0</v>
      </c>
      <c r="N70" s="36">
        <f t="shared" si="76"/>
        <v>1340</v>
      </c>
      <c r="O70" s="17">
        <v>20</v>
      </c>
      <c r="P70" s="16">
        <f t="shared" si="77"/>
        <v>670</v>
      </c>
      <c r="Q70" s="17"/>
      <c r="R70" s="16">
        <f t="shared" si="78"/>
        <v>0</v>
      </c>
      <c r="S70" s="36">
        <f t="shared" si="79"/>
        <v>670</v>
      </c>
      <c r="T70" s="17">
        <f t="shared" si="92"/>
        <v>100</v>
      </c>
      <c r="U70" s="39">
        <f t="shared" si="80"/>
        <v>3350</v>
      </c>
    </row>
    <row r="71" spans="2:21" s="18" customFormat="1" x14ac:dyDescent="0.25">
      <c r="B71" s="16" t="s">
        <v>18</v>
      </c>
      <c r="C71" s="17">
        <v>500</v>
      </c>
      <c r="D71" s="16">
        <v>49</v>
      </c>
      <c r="E71" s="17">
        <v>10</v>
      </c>
      <c r="F71" s="16">
        <f>E71*D71</f>
        <v>490</v>
      </c>
      <c r="G71" s="17"/>
      <c r="H71" s="16">
        <f t="shared" si="72"/>
        <v>0</v>
      </c>
      <c r="I71" s="36">
        <f t="shared" si="73"/>
        <v>490</v>
      </c>
      <c r="J71" s="17">
        <v>15</v>
      </c>
      <c r="K71" s="16">
        <f t="shared" si="74"/>
        <v>735</v>
      </c>
      <c r="L71" s="17"/>
      <c r="M71" s="16">
        <f t="shared" si="75"/>
        <v>0</v>
      </c>
      <c r="N71" s="36">
        <f t="shared" si="76"/>
        <v>735</v>
      </c>
      <c r="O71" s="17">
        <v>20</v>
      </c>
      <c r="P71" s="16">
        <f t="shared" si="77"/>
        <v>980</v>
      </c>
      <c r="Q71" s="17"/>
      <c r="R71" s="16">
        <f t="shared" si="78"/>
        <v>0</v>
      </c>
      <c r="S71" s="36">
        <f t="shared" si="79"/>
        <v>980</v>
      </c>
      <c r="T71" s="17">
        <f t="shared" si="92"/>
        <v>45</v>
      </c>
      <c r="U71" s="39">
        <f t="shared" si="80"/>
        <v>2205</v>
      </c>
    </row>
    <row r="72" spans="2:21" s="18" customFormat="1" x14ac:dyDescent="0.25">
      <c r="B72" s="16" t="s">
        <v>19</v>
      </c>
      <c r="C72" s="17">
        <v>1</v>
      </c>
      <c r="D72" s="16">
        <v>494.8</v>
      </c>
      <c r="E72" s="17"/>
      <c r="F72" s="16">
        <f t="shared" ref="F72:F76" si="93">E72*D72</f>
        <v>0</v>
      </c>
      <c r="G72" s="17"/>
      <c r="H72" s="16">
        <f t="shared" si="72"/>
        <v>0</v>
      </c>
      <c r="I72" s="36">
        <f t="shared" si="73"/>
        <v>0</v>
      </c>
      <c r="J72" s="17"/>
      <c r="K72" s="16">
        <f t="shared" si="74"/>
        <v>0</v>
      </c>
      <c r="L72" s="17"/>
      <c r="M72" s="16">
        <f t="shared" si="75"/>
        <v>0</v>
      </c>
      <c r="N72" s="36">
        <f t="shared" si="76"/>
        <v>0</v>
      </c>
      <c r="O72" s="17"/>
      <c r="P72" s="16">
        <f t="shared" si="77"/>
        <v>0</v>
      </c>
      <c r="Q72" s="17"/>
      <c r="R72" s="16">
        <f t="shared" si="78"/>
        <v>0</v>
      </c>
      <c r="S72" s="36">
        <f t="shared" si="79"/>
        <v>0</v>
      </c>
      <c r="T72" s="17">
        <f t="shared" si="92"/>
        <v>0</v>
      </c>
      <c r="U72" s="39">
        <f t="shared" si="80"/>
        <v>0</v>
      </c>
    </row>
    <row r="73" spans="2:21" s="18" customFormat="1" x14ac:dyDescent="0.25">
      <c r="B73" s="16" t="s">
        <v>20</v>
      </c>
      <c r="C73" s="17">
        <v>500</v>
      </c>
      <c r="D73" s="16">
        <v>72.2</v>
      </c>
      <c r="E73" s="17"/>
      <c r="F73" s="16">
        <f t="shared" ref="F73:F75" si="94">E73*D73</f>
        <v>0</v>
      </c>
      <c r="G73" s="17"/>
      <c r="H73" s="16">
        <f t="shared" ref="H73:H75" si="95">G73*D73</f>
        <v>0</v>
      </c>
      <c r="I73" s="36">
        <f t="shared" ref="I73:I75" si="96">(G73+E73)*D73</f>
        <v>0</v>
      </c>
      <c r="J73" s="17">
        <v>20</v>
      </c>
      <c r="K73" s="16">
        <f t="shared" ref="K73:K75" si="97">J73*D73</f>
        <v>1444</v>
      </c>
      <c r="L73" s="17"/>
      <c r="M73" s="16">
        <f t="shared" ref="M73:M75" si="98">L73*D73</f>
        <v>0</v>
      </c>
      <c r="N73" s="36">
        <f t="shared" ref="N73:N75" si="99">(L73+J73)*D73</f>
        <v>1444</v>
      </c>
      <c r="O73" s="17">
        <v>20</v>
      </c>
      <c r="P73" s="16">
        <f t="shared" ref="P73:P75" si="100">O73*D73</f>
        <v>1444</v>
      </c>
      <c r="Q73" s="17"/>
      <c r="R73" s="16">
        <f t="shared" ref="R73:R75" si="101">Q73*D73</f>
        <v>0</v>
      </c>
      <c r="S73" s="36">
        <f t="shared" ref="S73:S75" si="102">(Q73+O73)*D73</f>
        <v>1444</v>
      </c>
      <c r="T73" s="17">
        <f t="shared" si="92"/>
        <v>40</v>
      </c>
      <c r="U73" s="39">
        <f t="shared" ref="U73:U75" si="103">S73+N73+I73</f>
        <v>2888</v>
      </c>
    </row>
    <row r="74" spans="2:21" s="18" customFormat="1" x14ac:dyDescent="0.25">
      <c r="B74" s="16" t="s">
        <v>61</v>
      </c>
      <c r="C74" s="17">
        <v>1000</v>
      </c>
      <c r="D74" s="16">
        <v>180</v>
      </c>
      <c r="E74" s="17"/>
      <c r="F74" s="16">
        <f t="shared" si="94"/>
        <v>0</v>
      </c>
      <c r="G74" s="17"/>
      <c r="H74" s="16">
        <f t="shared" si="95"/>
        <v>0</v>
      </c>
      <c r="I74" s="36">
        <f t="shared" si="96"/>
        <v>0</v>
      </c>
      <c r="J74" s="17"/>
      <c r="K74" s="16">
        <f t="shared" si="97"/>
        <v>0</v>
      </c>
      <c r="L74" s="17"/>
      <c r="M74" s="16">
        <f t="shared" si="98"/>
        <v>0</v>
      </c>
      <c r="N74" s="36">
        <f t="shared" si="99"/>
        <v>0</v>
      </c>
      <c r="O74" s="17"/>
      <c r="P74" s="16">
        <f t="shared" si="100"/>
        <v>0</v>
      </c>
      <c r="Q74" s="17"/>
      <c r="R74" s="16">
        <f t="shared" si="101"/>
        <v>0</v>
      </c>
      <c r="S74" s="36">
        <f t="shared" si="102"/>
        <v>0</v>
      </c>
      <c r="T74" s="17">
        <f t="shared" ref="T74:T75" si="104">G74+E74+J74+L74+O74+Q74</f>
        <v>0</v>
      </c>
      <c r="U74" s="39">
        <f t="shared" si="103"/>
        <v>0</v>
      </c>
    </row>
    <row r="75" spans="2:21" s="18" customFormat="1" x14ac:dyDescent="0.25">
      <c r="B75" s="16" t="s">
        <v>57</v>
      </c>
      <c r="C75" s="17">
        <v>1000</v>
      </c>
      <c r="D75" s="16">
        <v>98</v>
      </c>
      <c r="E75" s="17"/>
      <c r="F75" s="16">
        <f t="shared" si="94"/>
        <v>0</v>
      </c>
      <c r="G75" s="17"/>
      <c r="H75" s="16">
        <f t="shared" si="95"/>
        <v>0</v>
      </c>
      <c r="I75" s="36">
        <f t="shared" si="96"/>
        <v>0</v>
      </c>
      <c r="J75" s="17"/>
      <c r="K75" s="16">
        <f t="shared" si="97"/>
        <v>0</v>
      </c>
      <c r="L75" s="17"/>
      <c r="M75" s="16">
        <f t="shared" si="98"/>
        <v>0</v>
      </c>
      <c r="N75" s="36">
        <f t="shared" si="99"/>
        <v>0</v>
      </c>
      <c r="O75" s="17"/>
      <c r="P75" s="16">
        <f t="shared" si="100"/>
        <v>0</v>
      </c>
      <c r="Q75" s="17"/>
      <c r="R75" s="16">
        <f t="shared" si="101"/>
        <v>0</v>
      </c>
      <c r="S75" s="36">
        <f t="shared" si="102"/>
        <v>0</v>
      </c>
      <c r="T75" s="17">
        <f t="shared" si="104"/>
        <v>0</v>
      </c>
      <c r="U75" s="39">
        <f t="shared" si="103"/>
        <v>0</v>
      </c>
    </row>
    <row r="76" spans="2:21" s="18" customFormat="1" ht="14.4" thickBot="1" x14ac:dyDescent="0.3">
      <c r="B76" s="16" t="s">
        <v>53</v>
      </c>
      <c r="C76" s="17">
        <v>1000</v>
      </c>
      <c r="D76" s="16">
        <v>78</v>
      </c>
      <c r="E76" s="17"/>
      <c r="F76" s="16">
        <f t="shared" si="93"/>
        <v>0</v>
      </c>
      <c r="G76" s="17"/>
      <c r="H76" s="16">
        <f t="shared" si="72"/>
        <v>0</v>
      </c>
      <c r="I76" s="36">
        <f t="shared" si="73"/>
        <v>0</v>
      </c>
      <c r="J76" s="17"/>
      <c r="K76" s="16">
        <f t="shared" si="74"/>
        <v>0</v>
      </c>
      <c r="L76" s="17"/>
      <c r="M76" s="16">
        <f t="shared" si="75"/>
        <v>0</v>
      </c>
      <c r="N76" s="36">
        <f t="shared" si="76"/>
        <v>0</v>
      </c>
      <c r="O76" s="17"/>
      <c r="P76" s="16">
        <f t="shared" si="77"/>
        <v>0</v>
      </c>
      <c r="Q76" s="17"/>
      <c r="R76" s="16">
        <f t="shared" si="78"/>
        <v>0</v>
      </c>
      <c r="S76" s="36">
        <f t="shared" si="79"/>
        <v>0</v>
      </c>
      <c r="T76" s="17">
        <f t="shared" si="92"/>
        <v>0</v>
      </c>
      <c r="U76" s="39">
        <f t="shared" si="80"/>
        <v>0</v>
      </c>
    </row>
    <row r="77" spans="2:21" s="18" customFormat="1" ht="14.4" thickBot="1" x14ac:dyDescent="0.3">
      <c r="B77" s="19"/>
      <c r="C77" s="20"/>
      <c r="D77" s="21"/>
      <c r="E77" s="22"/>
      <c r="F77" s="23">
        <f>SUM(F66:F76)</f>
        <v>2572.2600000000002</v>
      </c>
      <c r="G77" s="22"/>
      <c r="H77" s="23">
        <f>SUM(H66:H76)</f>
        <v>0</v>
      </c>
      <c r="I77" s="26">
        <f>SUM(I66:I76)</f>
        <v>2572.2600000000002</v>
      </c>
      <c r="J77" s="22"/>
      <c r="K77" s="23">
        <f>SUM(K66:K76)</f>
        <v>3815.9</v>
      </c>
      <c r="L77" s="22"/>
      <c r="M77" s="23">
        <f>SUM(M66:M76)</f>
        <v>0</v>
      </c>
      <c r="N77" s="26">
        <f>SUM(N66:N76)</f>
        <v>3815.9</v>
      </c>
      <c r="O77" s="22"/>
      <c r="P77" s="23">
        <f>SUM(P66:P76)</f>
        <v>3242.46</v>
      </c>
      <c r="Q77" s="22"/>
      <c r="R77" s="23">
        <f>SUM(R66:R76)</f>
        <v>0</v>
      </c>
      <c r="S77" s="26">
        <f>SUM(S66:S76)</f>
        <v>3242.46</v>
      </c>
      <c r="T77" s="17"/>
      <c r="U77" s="25">
        <f>SUM(U66:U76)</f>
        <v>9630.619999999999</v>
      </c>
    </row>
    <row r="78" spans="2:21" ht="17.399999999999999" x14ac:dyDescent="0.3">
      <c r="B78" s="10" t="s">
        <v>26</v>
      </c>
      <c r="C78" s="11"/>
      <c r="D78" s="12"/>
      <c r="E78" s="13">
        <v>2320</v>
      </c>
      <c r="F78" s="14">
        <v>45951</v>
      </c>
      <c r="G78" s="13"/>
      <c r="H78" s="14"/>
      <c r="I78" s="13"/>
      <c r="J78" s="13">
        <v>2344</v>
      </c>
      <c r="K78" s="14">
        <v>45979</v>
      </c>
      <c r="L78" s="13"/>
      <c r="M78" s="14"/>
      <c r="N78" s="15"/>
      <c r="O78" s="13">
        <v>2366</v>
      </c>
      <c r="P78" s="14">
        <v>45998</v>
      </c>
      <c r="Q78" s="13">
        <v>2381</v>
      </c>
      <c r="R78" s="14">
        <v>46009</v>
      </c>
      <c r="S78" s="15"/>
      <c r="T78" s="15"/>
      <c r="U78" s="15"/>
    </row>
    <row r="79" spans="2:21" s="18" customFormat="1" x14ac:dyDescent="0.25">
      <c r="B79" s="16" t="s">
        <v>62</v>
      </c>
      <c r="C79" s="17">
        <v>1000</v>
      </c>
      <c r="D79" s="16">
        <v>74.23</v>
      </c>
      <c r="E79" s="17">
        <v>2</v>
      </c>
      <c r="F79" s="16">
        <f t="shared" ref="F79:F81" si="105">E79*D79</f>
        <v>148.46</v>
      </c>
      <c r="G79" s="17"/>
      <c r="H79" s="16">
        <f t="shared" ref="H79:H81" si="106">G79*D79</f>
        <v>0</v>
      </c>
      <c r="I79" s="36">
        <f t="shared" ref="I79:I81" si="107">(G79+E79)*D79</f>
        <v>148.46</v>
      </c>
      <c r="J79" s="17">
        <v>2</v>
      </c>
      <c r="K79" s="16">
        <f t="shared" ref="K79:K81" si="108">J79*D79</f>
        <v>148.46</v>
      </c>
      <c r="L79" s="17"/>
      <c r="M79" s="16">
        <f t="shared" ref="M79:M81" si="109">L79*D79</f>
        <v>0</v>
      </c>
      <c r="N79" s="36">
        <f t="shared" ref="N79:N81" si="110">(L79+J79)*D79</f>
        <v>148.46</v>
      </c>
      <c r="O79" s="17"/>
      <c r="P79" s="16">
        <f t="shared" ref="P79:P81" si="111">O79*D79</f>
        <v>0</v>
      </c>
      <c r="Q79" s="17">
        <v>1</v>
      </c>
      <c r="R79" s="16">
        <f t="shared" ref="R79:R81" si="112">Q79*D79</f>
        <v>74.23</v>
      </c>
      <c r="S79" s="36">
        <f t="shared" ref="S79:S81" si="113">(Q79+O79)*D79</f>
        <v>74.23</v>
      </c>
      <c r="T79" s="17">
        <f>G79+E79+J79+L79+O79+Q79</f>
        <v>5</v>
      </c>
      <c r="U79" s="39">
        <f t="shared" ref="U79:U81" si="114">S79+N79+I79</f>
        <v>371.15</v>
      </c>
    </row>
    <row r="80" spans="2:21" s="18" customFormat="1" x14ac:dyDescent="0.25">
      <c r="B80" s="16" t="s">
        <v>63</v>
      </c>
      <c r="C80" s="17">
        <v>1000</v>
      </c>
      <c r="D80" s="16">
        <v>74.22</v>
      </c>
      <c r="E80" s="17">
        <f>2+2</f>
        <v>4</v>
      </c>
      <c r="F80" s="16">
        <f t="shared" si="105"/>
        <v>296.88</v>
      </c>
      <c r="G80" s="17"/>
      <c r="H80" s="16">
        <f t="shared" si="106"/>
        <v>0</v>
      </c>
      <c r="I80" s="36">
        <f t="shared" si="107"/>
        <v>296.88</v>
      </c>
      <c r="J80" s="17">
        <v>2</v>
      </c>
      <c r="K80" s="16">
        <f t="shared" si="108"/>
        <v>148.44</v>
      </c>
      <c r="L80" s="17"/>
      <c r="M80" s="16">
        <f t="shared" si="109"/>
        <v>0</v>
      </c>
      <c r="N80" s="36">
        <f t="shared" si="110"/>
        <v>148.44</v>
      </c>
      <c r="O80" s="17"/>
      <c r="P80" s="16">
        <f t="shared" si="111"/>
        <v>0</v>
      </c>
      <c r="Q80" s="17">
        <v>1</v>
      </c>
      <c r="R80" s="16">
        <f t="shared" si="112"/>
        <v>74.22</v>
      </c>
      <c r="S80" s="36">
        <f t="shared" si="113"/>
        <v>74.22</v>
      </c>
      <c r="T80" s="17">
        <f t="shared" ref="T80:T81" si="115">G80+E80+J80+L80+O80+Q80</f>
        <v>7</v>
      </c>
      <c r="U80" s="39">
        <f t="shared" si="114"/>
        <v>519.54</v>
      </c>
    </row>
    <row r="81" spans="1:21" s="18" customFormat="1" x14ac:dyDescent="0.25">
      <c r="B81" s="16" t="s">
        <v>64</v>
      </c>
      <c r="C81" s="17">
        <v>1000</v>
      </c>
      <c r="D81" s="16">
        <v>74.23</v>
      </c>
      <c r="E81" s="17">
        <v>2</v>
      </c>
      <c r="F81" s="16">
        <f t="shared" si="105"/>
        <v>148.46</v>
      </c>
      <c r="G81" s="17"/>
      <c r="H81" s="16">
        <f t="shared" si="106"/>
        <v>0</v>
      </c>
      <c r="I81" s="36">
        <f t="shared" si="107"/>
        <v>148.46</v>
      </c>
      <c r="J81" s="17">
        <v>2</v>
      </c>
      <c r="K81" s="16">
        <f t="shared" si="108"/>
        <v>148.46</v>
      </c>
      <c r="L81" s="17"/>
      <c r="M81" s="16">
        <f t="shared" si="109"/>
        <v>0</v>
      </c>
      <c r="N81" s="36">
        <f t="shared" si="110"/>
        <v>148.46</v>
      </c>
      <c r="O81" s="17"/>
      <c r="P81" s="16">
        <f t="shared" si="111"/>
        <v>0</v>
      </c>
      <c r="Q81" s="17">
        <v>1</v>
      </c>
      <c r="R81" s="16">
        <f t="shared" si="112"/>
        <v>74.23</v>
      </c>
      <c r="S81" s="36">
        <f t="shared" si="113"/>
        <v>74.23</v>
      </c>
      <c r="T81" s="17">
        <f t="shared" si="115"/>
        <v>5</v>
      </c>
      <c r="U81" s="39">
        <f t="shared" si="114"/>
        <v>371.15</v>
      </c>
    </row>
    <row r="82" spans="1:21" s="18" customFormat="1" x14ac:dyDescent="0.25">
      <c r="B82" s="16" t="s">
        <v>15</v>
      </c>
      <c r="C82" s="17">
        <v>1000</v>
      </c>
      <c r="D82" s="16">
        <v>74.22</v>
      </c>
      <c r="E82" s="17"/>
      <c r="F82" s="16">
        <f t="shared" ref="F82:F83" si="116">E82*D82</f>
        <v>0</v>
      </c>
      <c r="G82" s="17"/>
      <c r="H82" s="16">
        <f t="shared" ref="H82:H89" si="117">G82*D82</f>
        <v>0</v>
      </c>
      <c r="I82" s="36">
        <f t="shared" ref="I82:I89" si="118">(G82+E82)*D82</f>
        <v>0</v>
      </c>
      <c r="J82" s="17">
        <v>2</v>
      </c>
      <c r="K82" s="16">
        <f t="shared" ref="K82:K89" si="119">J82*D82</f>
        <v>148.44</v>
      </c>
      <c r="L82" s="17"/>
      <c r="M82" s="16">
        <f t="shared" ref="M82:M89" si="120">L82*D82</f>
        <v>0</v>
      </c>
      <c r="N82" s="36">
        <f t="shared" ref="N82:N89" si="121">(L82+J82)*D82</f>
        <v>148.44</v>
      </c>
      <c r="O82" s="17"/>
      <c r="P82" s="16">
        <f t="shared" ref="P82:P89" si="122">O82*D82</f>
        <v>0</v>
      </c>
      <c r="Q82" s="17">
        <v>10</v>
      </c>
      <c r="R82" s="16">
        <f t="shared" ref="R82:R89" si="123">Q82*D82</f>
        <v>742.2</v>
      </c>
      <c r="S82" s="36">
        <f t="shared" ref="S82:S89" si="124">(Q82+O82)*D82</f>
        <v>742.2</v>
      </c>
      <c r="T82" s="17">
        <f t="shared" ref="T82:T89" si="125">G82+E82+J82+L82+O82+Q82</f>
        <v>12</v>
      </c>
      <c r="U82" s="39">
        <f t="shared" ref="U82:U89" si="126">S82+N82+I82</f>
        <v>890.6400000000001</v>
      </c>
    </row>
    <row r="83" spans="1:21" s="18" customFormat="1" x14ac:dyDescent="0.25">
      <c r="B83" s="16" t="s">
        <v>17</v>
      </c>
      <c r="C83" s="17">
        <v>500</v>
      </c>
      <c r="D83" s="16">
        <v>33.5</v>
      </c>
      <c r="E83" s="17">
        <v>40</v>
      </c>
      <c r="F83" s="16">
        <f t="shared" si="116"/>
        <v>1340</v>
      </c>
      <c r="G83" s="17"/>
      <c r="H83" s="16">
        <f t="shared" si="117"/>
        <v>0</v>
      </c>
      <c r="I83" s="36">
        <f t="shared" si="118"/>
        <v>1340</v>
      </c>
      <c r="J83" s="17">
        <v>20</v>
      </c>
      <c r="K83" s="16">
        <f t="shared" si="119"/>
        <v>670</v>
      </c>
      <c r="L83" s="17"/>
      <c r="M83" s="16">
        <f t="shared" si="120"/>
        <v>0</v>
      </c>
      <c r="N83" s="36">
        <f t="shared" si="121"/>
        <v>670</v>
      </c>
      <c r="O83" s="17">
        <v>40</v>
      </c>
      <c r="P83" s="16">
        <f t="shared" si="122"/>
        <v>1340</v>
      </c>
      <c r="Q83" s="17">
        <v>20</v>
      </c>
      <c r="R83" s="16">
        <f t="shared" si="123"/>
        <v>670</v>
      </c>
      <c r="S83" s="36">
        <f t="shared" si="124"/>
        <v>2010</v>
      </c>
      <c r="T83" s="17">
        <f t="shared" si="125"/>
        <v>120</v>
      </c>
      <c r="U83" s="39">
        <f t="shared" si="126"/>
        <v>4020</v>
      </c>
    </row>
    <row r="84" spans="1:21" s="18" customFormat="1" x14ac:dyDescent="0.25">
      <c r="B84" s="16" t="s">
        <v>18</v>
      </c>
      <c r="C84" s="17">
        <v>500</v>
      </c>
      <c r="D84" s="16">
        <v>49</v>
      </c>
      <c r="E84" s="17">
        <v>20</v>
      </c>
      <c r="F84" s="16">
        <f>E84*D84</f>
        <v>980</v>
      </c>
      <c r="G84" s="17"/>
      <c r="H84" s="16">
        <f t="shared" si="117"/>
        <v>0</v>
      </c>
      <c r="I84" s="36">
        <f t="shared" si="118"/>
        <v>980</v>
      </c>
      <c r="J84" s="17">
        <v>10</v>
      </c>
      <c r="K84" s="16">
        <f t="shared" si="119"/>
        <v>490</v>
      </c>
      <c r="L84" s="17"/>
      <c r="M84" s="16">
        <f t="shared" si="120"/>
        <v>0</v>
      </c>
      <c r="N84" s="36">
        <f t="shared" si="121"/>
        <v>490</v>
      </c>
      <c r="O84" s="17">
        <v>4</v>
      </c>
      <c r="P84" s="16">
        <f t="shared" si="122"/>
        <v>196</v>
      </c>
      <c r="Q84" s="17">
        <v>20</v>
      </c>
      <c r="R84" s="16">
        <f t="shared" si="123"/>
        <v>980</v>
      </c>
      <c r="S84" s="36">
        <f t="shared" si="124"/>
        <v>1176</v>
      </c>
      <c r="T84" s="17">
        <f t="shared" si="125"/>
        <v>54</v>
      </c>
      <c r="U84" s="39">
        <f t="shared" si="126"/>
        <v>2646</v>
      </c>
    </row>
    <row r="85" spans="1:21" s="18" customFormat="1" x14ac:dyDescent="0.25">
      <c r="B85" s="16" t="s">
        <v>19</v>
      </c>
      <c r="C85" s="17">
        <v>1</v>
      </c>
      <c r="D85" s="16">
        <v>494.8</v>
      </c>
      <c r="E85" s="17"/>
      <c r="F85" s="16">
        <f t="shared" ref="F85:F89" si="127">E85*D85</f>
        <v>0</v>
      </c>
      <c r="G85" s="17"/>
      <c r="H85" s="16">
        <f t="shared" si="117"/>
        <v>0</v>
      </c>
      <c r="I85" s="36">
        <f t="shared" si="118"/>
        <v>0</v>
      </c>
      <c r="J85" s="17">
        <v>1</v>
      </c>
      <c r="K85" s="16">
        <f t="shared" si="119"/>
        <v>494.8</v>
      </c>
      <c r="L85" s="17"/>
      <c r="M85" s="16">
        <f t="shared" si="120"/>
        <v>0</v>
      </c>
      <c r="N85" s="36">
        <f t="shared" si="121"/>
        <v>494.8</v>
      </c>
      <c r="O85" s="17"/>
      <c r="P85" s="16">
        <f t="shared" si="122"/>
        <v>0</v>
      </c>
      <c r="Q85" s="17"/>
      <c r="R85" s="16">
        <f t="shared" si="123"/>
        <v>0</v>
      </c>
      <c r="S85" s="36">
        <f t="shared" si="124"/>
        <v>0</v>
      </c>
      <c r="T85" s="17">
        <f t="shared" si="125"/>
        <v>1</v>
      </c>
      <c r="U85" s="39">
        <f t="shared" si="126"/>
        <v>494.8</v>
      </c>
    </row>
    <row r="86" spans="1:21" s="18" customFormat="1" x14ac:dyDescent="0.25">
      <c r="B86" s="16" t="s">
        <v>20</v>
      </c>
      <c r="C86" s="17">
        <v>500</v>
      </c>
      <c r="D86" s="16">
        <v>72.2</v>
      </c>
      <c r="E86" s="17"/>
      <c r="F86" s="16">
        <f t="shared" ref="F86:F88" si="128">E86*D86</f>
        <v>0</v>
      </c>
      <c r="G86" s="17"/>
      <c r="H86" s="16">
        <f t="shared" ref="H86:H88" si="129">G86*D86</f>
        <v>0</v>
      </c>
      <c r="I86" s="36">
        <f t="shared" ref="I86:I88" si="130">(G86+E86)*D86</f>
        <v>0</v>
      </c>
      <c r="J86" s="17">
        <v>20</v>
      </c>
      <c r="K86" s="16">
        <f t="shared" ref="K86:K88" si="131">J86*D86</f>
        <v>1444</v>
      </c>
      <c r="L86" s="17"/>
      <c r="M86" s="16">
        <f t="shared" ref="M86:M88" si="132">L86*D86</f>
        <v>0</v>
      </c>
      <c r="N86" s="36">
        <f t="shared" ref="N86:N88" si="133">(L86+J86)*D86</f>
        <v>1444</v>
      </c>
      <c r="O86" s="17">
        <v>20</v>
      </c>
      <c r="P86" s="16">
        <f t="shared" ref="P86:P88" si="134">O86*D86</f>
        <v>1444</v>
      </c>
      <c r="Q86" s="17"/>
      <c r="R86" s="16">
        <f t="shared" ref="R86:R88" si="135">Q86*D86</f>
        <v>0</v>
      </c>
      <c r="S86" s="36">
        <f t="shared" ref="S86:S88" si="136">(Q86+O86)*D86</f>
        <v>1444</v>
      </c>
      <c r="T86" s="17">
        <f t="shared" ref="T86:T88" si="137">G86+E86+J86+L86+O86+Q86</f>
        <v>40</v>
      </c>
      <c r="U86" s="39">
        <f t="shared" ref="U86:U88" si="138">S86+N86+I86</f>
        <v>2888</v>
      </c>
    </row>
    <row r="87" spans="1:21" s="18" customFormat="1" x14ac:dyDescent="0.25">
      <c r="B87" s="16" t="s">
        <v>61</v>
      </c>
      <c r="C87" s="17">
        <v>1000</v>
      </c>
      <c r="D87" s="16">
        <v>180</v>
      </c>
      <c r="E87" s="17"/>
      <c r="F87" s="16">
        <f t="shared" si="128"/>
        <v>0</v>
      </c>
      <c r="G87" s="17"/>
      <c r="H87" s="16">
        <f t="shared" si="129"/>
        <v>0</v>
      </c>
      <c r="I87" s="36">
        <f t="shared" si="130"/>
        <v>0</v>
      </c>
      <c r="J87" s="17"/>
      <c r="K87" s="16">
        <f t="shared" si="131"/>
        <v>0</v>
      </c>
      <c r="L87" s="17"/>
      <c r="M87" s="16">
        <f t="shared" si="132"/>
        <v>0</v>
      </c>
      <c r="N87" s="36">
        <f t="shared" si="133"/>
        <v>0</v>
      </c>
      <c r="O87" s="17"/>
      <c r="P87" s="16">
        <f t="shared" si="134"/>
        <v>0</v>
      </c>
      <c r="Q87" s="17"/>
      <c r="R87" s="16">
        <f t="shared" si="135"/>
        <v>0</v>
      </c>
      <c r="S87" s="36">
        <f t="shared" si="136"/>
        <v>0</v>
      </c>
      <c r="T87" s="17">
        <f t="shared" si="137"/>
        <v>0</v>
      </c>
      <c r="U87" s="39">
        <f t="shared" si="138"/>
        <v>0</v>
      </c>
    </row>
    <row r="88" spans="1:21" s="18" customFormat="1" x14ac:dyDescent="0.25">
      <c r="B88" s="16" t="s">
        <v>57</v>
      </c>
      <c r="C88" s="17">
        <v>1000</v>
      </c>
      <c r="D88" s="16">
        <v>98</v>
      </c>
      <c r="E88" s="17">
        <v>1</v>
      </c>
      <c r="F88" s="16">
        <f t="shared" si="128"/>
        <v>98</v>
      </c>
      <c r="G88" s="17"/>
      <c r="H88" s="16">
        <f t="shared" si="129"/>
        <v>0</v>
      </c>
      <c r="I88" s="36">
        <f t="shared" si="130"/>
        <v>98</v>
      </c>
      <c r="J88" s="17"/>
      <c r="K88" s="16">
        <f t="shared" si="131"/>
        <v>0</v>
      </c>
      <c r="L88" s="17"/>
      <c r="M88" s="16">
        <f t="shared" si="132"/>
        <v>0</v>
      </c>
      <c r="N88" s="36">
        <f t="shared" si="133"/>
        <v>0</v>
      </c>
      <c r="O88" s="17">
        <v>1</v>
      </c>
      <c r="P88" s="16">
        <f t="shared" si="134"/>
        <v>98</v>
      </c>
      <c r="Q88" s="17"/>
      <c r="R88" s="16">
        <f t="shared" si="135"/>
        <v>0</v>
      </c>
      <c r="S88" s="36">
        <f t="shared" si="136"/>
        <v>98</v>
      </c>
      <c r="T88" s="17">
        <f t="shared" si="137"/>
        <v>2</v>
      </c>
      <c r="U88" s="39">
        <f t="shared" si="138"/>
        <v>196</v>
      </c>
    </row>
    <row r="89" spans="1:21" s="18" customFormat="1" ht="14.4" thickBot="1" x14ac:dyDescent="0.3">
      <c r="B89" s="16" t="s">
        <v>53</v>
      </c>
      <c r="C89" s="17">
        <v>1000</v>
      </c>
      <c r="D89" s="16">
        <v>78</v>
      </c>
      <c r="E89" s="17"/>
      <c r="F89" s="16">
        <f t="shared" si="127"/>
        <v>0</v>
      </c>
      <c r="G89" s="17"/>
      <c r="H89" s="16">
        <f t="shared" si="117"/>
        <v>0</v>
      </c>
      <c r="I89" s="36">
        <f t="shared" si="118"/>
        <v>0</v>
      </c>
      <c r="J89" s="17"/>
      <c r="K89" s="16">
        <f t="shared" si="119"/>
        <v>0</v>
      </c>
      <c r="L89" s="17"/>
      <c r="M89" s="16">
        <f t="shared" si="120"/>
        <v>0</v>
      </c>
      <c r="N89" s="36">
        <f t="shared" si="121"/>
        <v>0</v>
      </c>
      <c r="O89" s="17"/>
      <c r="P89" s="16">
        <f t="shared" si="122"/>
        <v>0</v>
      </c>
      <c r="Q89" s="17"/>
      <c r="R89" s="16">
        <f t="shared" si="123"/>
        <v>0</v>
      </c>
      <c r="S89" s="36">
        <f t="shared" si="124"/>
        <v>0</v>
      </c>
      <c r="T89" s="17">
        <f t="shared" si="125"/>
        <v>0</v>
      </c>
      <c r="U89" s="39">
        <f t="shared" si="126"/>
        <v>0</v>
      </c>
    </row>
    <row r="90" spans="1:21" s="18" customFormat="1" ht="14.4" thickBot="1" x14ac:dyDescent="0.3">
      <c r="B90" s="19"/>
      <c r="C90" s="20"/>
      <c r="D90" s="21"/>
      <c r="E90" s="22"/>
      <c r="F90" s="23">
        <f>SUM(F79:F89)</f>
        <v>3011.8</v>
      </c>
      <c r="G90" s="22"/>
      <c r="H90" s="23">
        <f>SUM(H79:H89)</f>
        <v>0</v>
      </c>
      <c r="I90" s="26">
        <f>SUM(I79:I89)</f>
        <v>3011.8</v>
      </c>
      <c r="J90" s="22"/>
      <c r="K90" s="23">
        <f>SUM(K79:K89)</f>
        <v>3692.6</v>
      </c>
      <c r="L90" s="22"/>
      <c r="M90" s="23">
        <f>SUM(M79:M89)</f>
        <v>0</v>
      </c>
      <c r="N90" s="26">
        <f>SUM(N79:N89)</f>
        <v>3692.6</v>
      </c>
      <c r="O90" s="22"/>
      <c r="P90" s="23">
        <f>SUM(P79:P89)</f>
        <v>3078</v>
      </c>
      <c r="Q90" s="22"/>
      <c r="R90" s="23">
        <f>SUM(R79:R89)</f>
        <v>2614.88</v>
      </c>
      <c r="S90" s="26">
        <f>SUM(S79:S89)</f>
        <v>5692.88</v>
      </c>
      <c r="T90" s="17"/>
      <c r="U90" s="25">
        <f>SUM(U79:U89)</f>
        <v>12397.279999999999</v>
      </c>
    </row>
    <row r="91" spans="1:21" ht="17.399999999999999" x14ac:dyDescent="0.3">
      <c r="A91" s="18"/>
      <c r="B91" s="10" t="s">
        <v>51</v>
      </c>
      <c r="C91" s="11"/>
      <c r="D91" s="12"/>
      <c r="E91" s="13">
        <v>2302</v>
      </c>
      <c r="F91" s="14">
        <v>45935</v>
      </c>
      <c r="G91" s="13">
        <v>2317</v>
      </c>
      <c r="H91" s="14">
        <v>45949</v>
      </c>
      <c r="I91" s="13"/>
      <c r="J91" s="13">
        <v>2325</v>
      </c>
      <c r="K91" s="14">
        <v>45963</v>
      </c>
      <c r="L91" s="13">
        <v>2348</v>
      </c>
      <c r="M91" s="14">
        <v>45985</v>
      </c>
      <c r="N91" s="15"/>
      <c r="O91" s="13">
        <v>2358</v>
      </c>
      <c r="P91" s="14">
        <v>45992</v>
      </c>
      <c r="Q91" s="42" t="s">
        <v>65</v>
      </c>
      <c r="R91" s="14">
        <v>46005</v>
      </c>
      <c r="S91" s="15"/>
      <c r="T91" s="15"/>
      <c r="U91" s="15"/>
    </row>
    <row r="92" spans="1:21" s="18" customFormat="1" x14ac:dyDescent="0.25">
      <c r="B92" s="16" t="s">
        <v>62</v>
      </c>
      <c r="C92" s="17">
        <v>1000</v>
      </c>
      <c r="D92" s="16">
        <v>74.23</v>
      </c>
      <c r="E92" s="17">
        <v>2</v>
      </c>
      <c r="F92" s="16">
        <f t="shared" ref="F92:F94" si="139">E92*D92</f>
        <v>148.46</v>
      </c>
      <c r="G92" s="17">
        <v>1</v>
      </c>
      <c r="H92" s="16">
        <f t="shared" ref="H92:H94" si="140">G92*D92</f>
        <v>74.23</v>
      </c>
      <c r="I92" s="36">
        <f t="shared" ref="I92:I94" si="141">(G92+E92)*D92</f>
        <v>222.69</v>
      </c>
      <c r="J92" s="17">
        <v>1</v>
      </c>
      <c r="K92" s="16">
        <f t="shared" ref="K92:K94" si="142">J92*D92</f>
        <v>74.23</v>
      </c>
      <c r="L92" s="17"/>
      <c r="M92" s="16">
        <f t="shared" ref="M92:M94" si="143">L92*D92</f>
        <v>0</v>
      </c>
      <c r="N92" s="36">
        <f t="shared" ref="N92:N94" si="144">(L92+J92)*D92</f>
        <v>74.23</v>
      </c>
      <c r="O92" s="17"/>
      <c r="P92" s="16">
        <f t="shared" ref="P92:P94" si="145">O92*D92</f>
        <v>0</v>
      </c>
      <c r="Q92" s="17"/>
      <c r="R92" s="16">
        <f t="shared" ref="R92:R94" si="146">Q92*D92</f>
        <v>0</v>
      </c>
      <c r="S92" s="36">
        <f t="shared" ref="S92:S94" si="147">(Q92+O92)*D92</f>
        <v>0</v>
      </c>
      <c r="T92" s="17">
        <f>G92+E92+J92+L92+O92+Q92</f>
        <v>4</v>
      </c>
      <c r="U92" s="39">
        <f t="shared" ref="U92:U94" si="148">S92+N92+I92</f>
        <v>296.92</v>
      </c>
    </row>
    <row r="93" spans="1:21" s="18" customFormat="1" x14ac:dyDescent="0.25">
      <c r="B93" s="16" t="s">
        <v>63</v>
      </c>
      <c r="C93" s="17">
        <v>1000</v>
      </c>
      <c r="D93" s="16">
        <v>74.22</v>
      </c>
      <c r="E93" s="17">
        <v>2</v>
      </c>
      <c r="F93" s="16">
        <f t="shared" si="139"/>
        <v>148.44</v>
      </c>
      <c r="G93" s="17">
        <v>1</v>
      </c>
      <c r="H93" s="16">
        <f t="shared" si="140"/>
        <v>74.22</v>
      </c>
      <c r="I93" s="36">
        <f t="shared" si="141"/>
        <v>222.66</v>
      </c>
      <c r="J93" s="17">
        <v>1</v>
      </c>
      <c r="K93" s="16">
        <f t="shared" si="142"/>
        <v>74.22</v>
      </c>
      <c r="L93" s="17"/>
      <c r="M93" s="16">
        <f t="shared" si="143"/>
        <v>0</v>
      </c>
      <c r="N93" s="36">
        <f t="shared" si="144"/>
        <v>74.22</v>
      </c>
      <c r="O93" s="17"/>
      <c r="P93" s="16">
        <f t="shared" si="145"/>
        <v>0</v>
      </c>
      <c r="Q93" s="17"/>
      <c r="R93" s="16">
        <f t="shared" si="146"/>
        <v>0</v>
      </c>
      <c r="S93" s="36">
        <f t="shared" si="147"/>
        <v>0</v>
      </c>
      <c r="T93" s="17">
        <f t="shared" ref="T93:T94" si="149">G93+E93+J93+L93+O93+Q93</f>
        <v>4</v>
      </c>
      <c r="U93" s="39">
        <f t="shared" si="148"/>
        <v>296.88</v>
      </c>
    </row>
    <row r="94" spans="1:21" s="18" customFormat="1" x14ac:dyDescent="0.25">
      <c r="B94" s="16" t="s">
        <v>64</v>
      </c>
      <c r="C94" s="17">
        <v>1000</v>
      </c>
      <c r="D94" s="16">
        <v>74.23</v>
      </c>
      <c r="E94" s="17">
        <v>2</v>
      </c>
      <c r="F94" s="16">
        <f t="shared" si="139"/>
        <v>148.46</v>
      </c>
      <c r="G94" s="17">
        <v>1</v>
      </c>
      <c r="H94" s="16">
        <f t="shared" si="140"/>
        <v>74.23</v>
      </c>
      <c r="I94" s="36">
        <f t="shared" si="141"/>
        <v>222.69</v>
      </c>
      <c r="J94" s="17">
        <v>1</v>
      </c>
      <c r="K94" s="16">
        <f t="shared" si="142"/>
        <v>74.23</v>
      </c>
      <c r="L94" s="17"/>
      <c r="M94" s="16">
        <f t="shared" si="143"/>
        <v>0</v>
      </c>
      <c r="N94" s="36">
        <f t="shared" si="144"/>
        <v>74.23</v>
      </c>
      <c r="O94" s="17"/>
      <c r="P94" s="16">
        <f t="shared" si="145"/>
        <v>0</v>
      </c>
      <c r="Q94" s="17"/>
      <c r="R94" s="16">
        <f t="shared" si="146"/>
        <v>0</v>
      </c>
      <c r="S94" s="36">
        <f t="shared" si="147"/>
        <v>0</v>
      </c>
      <c r="T94" s="17">
        <f t="shared" si="149"/>
        <v>4</v>
      </c>
      <c r="U94" s="39">
        <f t="shared" si="148"/>
        <v>296.92</v>
      </c>
    </row>
    <row r="95" spans="1:21" s="18" customFormat="1" x14ac:dyDescent="0.25">
      <c r="B95" s="16" t="s">
        <v>15</v>
      </c>
      <c r="C95" s="17">
        <v>1000</v>
      </c>
      <c r="D95" s="16">
        <v>74.22</v>
      </c>
      <c r="E95" s="17">
        <v>2</v>
      </c>
      <c r="F95" s="16">
        <f t="shared" ref="F92:F96" si="150">E95*D95</f>
        <v>148.44</v>
      </c>
      <c r="G95" s="17"/>
      <c r="H95" s="16">
        <f t="shared" ref="H92:H102" si="151">G95*D95</f>
        <v>0</v>
      </c>
      <c r="I95" s="36">
        <f t="shared" ref="I92:I102" si="152">(G95+E95)*D95</f>
        <v>148.44</v>
      </c>
      <c r="J95" s="17">
        <v>2</v>
      </c>
      <c r="K95" s="16">
        <f t="shared" ref="K92:K102" si="153">J95*D95</f>
        <v>148.44</v>
      </c>
      <c r="L95" s="17"/>
      <c r="M95" s="16">
        <f t="shared" ref="M92:M102" si="154">L95*D95</f>
        <v>0</v>
      </c>
      <c r="N95" s="36">
        <f t="shared" ref="N92:N102" si="155">(L95+J95)*D95</f>
        <v>148.44</v>
      </c>
      <c r="O95" s="17"/>
      <c r="P95" s="16">
        <f t="shared" ref="P92:P102" si="156">O95*D95</f>
        <v>0</v>
      </c>
      <c r="Q95" s="17">
        <v>5</v>
      </c>
      <c r="R95" s="16">
        <f t="shared" ref="R92:R102" si="157">Q95*D95</f>
        <v>371.1</v>
      </c>
      <c r="S95" s="36">
        <f t="shared" ref="S92:S102" si="158">(Q95+O95)*D95</f>
        <v>371.1</v>
      </c>
      <c r="T95" s="17">
        <f t="shared" ref="T95:T102" si="159">G95+E95+J95+L95+O95+Q95</f>
        <v>9</v>
      </c>
      <c r="U95" s="39">
        <f t="shared" ref="U92:U101" si="160">S95+N95+I95</f>
        <v>667.98</v>
      </c>
    </row>
    <row r="96" spans="1:21" s="18" customFormat="1" x14ac:dyDescent="0.25">
      <c r="B96" s="16" t="s">
        <v>17</v>
      </c>
      <c r="C96" s="17">
        <v>500</v>
      </c>
      <c r="D96" s="16">
        <v>33.5</v>
      </c>
      <c r="E96" s="17">
        <v>10</v>
      </c>
      <c r="F96" s="16">
        <f t="shared" si="150"/>
        <v>335</v>
      </c>
      <c r="G96" s="17">
        <v>20</v>
      </c>
      <c r="H96" s="16">
        <f t="shared" si="151"/>
        <v>670</v>
      </c>
      <c r="I96" s="36">
        <f t="shared" si="152"/>
        <v>1005</v>
      </c>
      <c r="J96" s="17">
        <v>20</v>
      </c>
      <c r="K96" s="16">
        <f t="shared" si="153"/>
        <v>670</v>
      </c>
      <c r="L96" s="17">
        <v>10</v>
      </c>
      <c r="M96" s="16">
        <f t="shared" si="154"/>
        <v>335</v>
      </c>
      <c r="N96" s="36">
        <f t="shared" si="155"/>
        <v>1005</v>
      </c>
      <c r="O96" s="17">
        <v>20</v>
      </c>
      <c r="P96" s="16">
        <f t="shared" si="156"/>
        <v>670</v>
      </c>
      <c r="Q96" s="17">
        <f>10+20</f>
        <v>30</v>
      </c>
      <c r="R96" s="16">
        <f t="shared" si="157"/>
        <v>1005</v>
      </c>
      <c r="S96" s="36">
        <f t="shared" si="158"/>
        <v>1675</v>
      </c>
      <c r="T96" s="17">
        <f t="shared" si="159"/>
        <v>110</v>
      </c>
      <c r="U96" s="39">
        <f t="shared" si="160"/>
        <v>3685</v>
      </c>
    </row>
    <row r="97" spans="1:21" s="18" customFormat="1" x14ac:dyDescent="0.25">
      <c r="B97" s="16" t="s">
        <v>18</v>
      </c>
      <c r="C97" s="17">
        <v>500</v>
      </c>
      <c r="D97" s="16">
        <v>49</v>
      </c>
      <c r="E97" s="17">
        <v>4</v>
      </c>
      <c r="F97" s="16">
        <f>E97*D97</f>
        <v>196</v>
      </c>
      <c r="G97" s="17"/>
      <c r="H97" s="16">
        <f t="shared" si="151"/>
        <v>0</v>
      </c>
      <c r="I97" s="36">
        <f t="shared" si="152"/>
        <v>196</v>
      </c>
      <c r="J97" s="17">
        <v>4</v>
      </c>
      <c r="K97" s="16">
        <f t="shared" si="153"/>
        <v>196</v>
      </c>
      <c r="L97" s="17">
        <v>1</v>
      </c>
      <c r="M97" s="16">
        <f t="shared" si="154"/>
        <v>49</v>
      </c>
      <c r="N97" s="36">
        <f t="shared" si="155"/>
        <v>245</v>
      </c>
      <c r="O97" s="17">
        <v>3</v>
      </c>
      <c r="P97" s="16">
        <f t="shared" si="156"/>
        <v>147</v>
      </c>
      <c r="Q97" s="17">
        <f>2+2</f>
        <v>4</v>
      </c>
      <c r="R97" s="16">
        <f t="shared" si="157"/>
        <v>196</v>
      </c>
      <c r="S97" s="36">
        <f t="shared" si="158"/>
        <v>343</v>
      </c>
      <c r="T97" s="17">
        <f t="shared" si="159"/>
        <v>16</v>
      </c>
      <c r="U97" s="39">
        <f t="shared" si="160"/>
        <v>784</v>
      </c>
    </row>
    <row r="98" spans="1:21" s="18" customFormat="1" x14ac:dyDescent="0.25">
      <c r="B98" s="16" t="s">
        <v>52</v>
      </c>
      <c r="C98" s="17">
        <v>1</v>
      </c>
      <c r="D98" s="16">
        <v>494.8</v>
      </c>
      <c r="E98" s="17"/>
      <c r="F98" s="16">
        <f t="shared" ref="F98:F102" si="161">E98*D98</f>
        <v>0</v>
      </c>
      <c r="G98" s="17"/>
      <c r="H98" s="16">
        <f t="shared" si="151"/>
        <v>0</v>
      </c>
      <c r="I98" s="36">
        <f t="shared" si="152"/>
        <v>0</v>
      </c>
      <c r="J98" s="17"/>
      <c r="K98" s="16">
        <f t="shared" si="153"/>
        <v>0</v>
      </c>
      <c r="L98" s="17"/>
      <c r="M98" s="16">
        <f t="shared" si="154"/>
        <v>0</v>
      </c>
      <c r="N98" s="36">
        <f t="shared" si="155"/>
        <v>0</v>
      </c>
      <c r="O98" s="17"/>
      <c r="P98" s="16">
        <f t="shared" si="156"/>
        <v>0</v>
      </c>
      <c r="Q98" s="17"/>
      <c r="R98" s="16">
        <f t="shared" si="157"/>
        <v>0</v>
      </c>
      <c r="S98" s="36">
        <f t="shared" si="158"/>
        <v>0</v>
      </c>
      <c r="T98" s="17">
        <f t="shared" si="159"/>
        <v>0</v>
      </c>
      <c r="U98" s="39">
        <f t="shared" si="160"/>
        <v>0</v>
      </c>
    </row>
    <row r="99" spans="1:21" s="18" customFormat="1" x14ac:dyDescent="0.25">
      <c r="B99" s="16" t="s">
        <v>20</v>
      </c>
      <c r="C99" s="17">
        <v>500</v>
      </c>
      <c r="D99" s="16">
        <v>72.2</v>
      </c>
      <c r="E99" s="17">
        <v>4</v>
      </c>
      <c r="F99" s="16">
        <f t="shared" si="161"/>
        <v>288.8</v>
      </c>
      <c r="G99" s="17">
        <v>4</v>
      </c>
      <c r="H99" s="16">
        <f t="shared" si="151"/>
        <v>288.8</v>
      </c>
      <c r="I99" s="36">
        <f t="shared" si="152"/>
        <v>577.6</v>
      </c>
      <c r="J99" s="17">
        <v>12</v>
      </c>
      <c r="K99" s="16">
        <f t="shared" si="153"/>
        <v>866.40000000000009</v>
      </c>
      <c r="L99" s="17">
        <v>10</v>
      </c>
      <c r="M99" s="16">
        <f t="shared" si="154"/>
        <v>722</v>
      </c>
      <c r="N99" s="36">
        <f t="shared" si="155"/>
        <v>1588.4</v>
      </c>
      <c r="O99" s="17">
        <v>12</v>
      </c>
      <c r="P99" s="16">
        <f t="shared" si="156"/>
        <v>866.40000000000009</v>
      </c>
      <c r="Q99" s="17">
        <f>2+3</f>
        <v>5</v>
      </c>
      <c r="R99" s="16">
        <f t="shared" si="157"/>
        <v>361</v>
      </c>
      <c r="S99" s="36">
        <f t="shared" si="158"/>
        <v>1227.4000000000001</v>
      </c>
      <c r="T99" s="17">
        <f t="shared" si="159"/>
        <v>47</v>
      </c>
      <c r="U99" s="39">
        <f t="shared" si="160"/>
        <v>3393.4</v>
      </c>
    </row>
    <row r="100" spans="1:21" s="18" customFormat="1" x14ac:dyDescent="0.25">
      <c r="B100" s="16" t="s">
        <v>61</v>
      </c>
      <c r="C100" s="17">
        <v>1000</v>
      </c>
      <c r="D100" s="16">
        <v>180</v>
      </c>
      <c r="E100" s="17"/>
      <c r="F100" s="16">
        <f t="shared" ref="F100:F101" si="162">E100*D100</f>
        <v>0</v>
      </c>
      <c r="G100" s="17">
        <v>1</v>
      </c>
      <c r="H100" s="16">
        <f t="shared" ref="H100:H101" si="163">G100*D100</f>
        <v>180</v>
      </c>
      <c r="I100" s="36">
        <f t="shared" ref="I100:I101" si="164">(G100+E100)*D100</f>
        <v>180</v>
      </c>
      <c r="J100" s="17"/>
      <c r="K100" s="16">
        <f t="shared" ref="K100:K101" si="165">J100*D100</f>
        <v>0</v>
      </c>
      <c r="L100" s="17"/>
      <c r="M100" s="16">
        <f t="shared" ref="M100:M101" si="166">L100*D100</f>
        <v>0</v>
      </c>
      <c r="N100" s="36">
        <f t="shared" ref="N100:N101" si="167">(L100+J100)*D100</f>
        <v>0</v>
      </c>
      <c r="O100" s="17">
        <v>1</v>
      </c>
      <c r="P100" s="16">
        <f t="shared" ref="P100:P101" si="168">O100*D100</f>
        <v>180</v>
      </c>
      <c r="Q100" s="17">
        <f>1+1</f>
        <v>2</v>
      </c>
      <c r="R100" s="16">
        <f t="shared" ref="R100:R101" si="169">Q100*D100</f>
        <v>360</v>
      </c>
      <c r="S100" s="36">
        <f t="shared" ref="S100:S101" si="170">(Q100+O100)*D100</f>
        <v>540</v>
      </c>
      <c r="T100" s="17">
        <f t="shared" ref="T100:T101" si="171">G100+E100+J100+L100+O100+Q100</f>
        <v>4</v>
      </c>
      <c r="U100" s="39">
        <f t="shared" si="160"/>
        <v>720</v>
      </c>
    </row>
    <row r="101" spans="1:21" s="18" customFormat="1" x14ac:dyDescent="0.25">
      <c r="B101" s="16" t="s">
        <v>57</v>
      </c>
      <c r="C101" s="17">
        <v>1000</v>
      </c>
      <c r="D101" s="16">
        <v>98</v>
      </c>
      <c r="E101" s="17"/>
      <c r="F101" s="16">
        <f t="shared" si="162"/>
        <v>0</v>
      </c>
      <c r="G101" s="17"/>
      <c r="H101" s="16">
        <f t="shared" si="163"/>
        <v>0</v>
      </c>
      <c r="I101" s="36">
        <f t="shared" si="164"/>
        <v>0</v>
      </c>
      <c r="J101" s="17"/>
      <c r="K101" s="16">
        <f t="shared" si="165"/>
        <v>0</v>
      </c>
      <c r="L101" s="17"/>
      <c r="M101" s="16">
        <f t="shared" si="166"/>
        <v>0</v>
      </c>
      <c r="N101" s="36">
        <f t="shared" si="167"/>
        <v>0</v>
      </c>
      <c r="O101" s="17"/>
      <c r="P101" s="16">
        <f t="shared" si="168"/>
        <v>0</v>
      </c>
      <c r="Q101" s="17"/>
      <c r="R101" s="16">
        <f t="shared" si="169"/>
        <v>0</v>
      </c>
      <c r="S101" s="36">
        <f t="shared" si="170"/>
        <v>0</v>
      </c>
      <c r="T101" s="17">
        <f t="shared" si="171"/>
        <v>0</v>
      </c>
      <c r="U101" s="39">
        <f t="shared" si="160"/>
        <v>0</v>
      </c>
    </row>
    <row r="102" spans="1:21" s="18" customFormat="1" ht="14.4" thickBot="1" x14ac:dyDescent="0.3">
      <c r="B102" s="16" t="s">
        <v>53</v>
      </c>
      <c r="C102" s="17">
        <v>1000</v>
      </c>
      <c r="D102" s="16">
        <v>78</v>
      </c>
      <c r="E102" s="17"/>
      <c r="F102" s="16">
        <f t="shared" si="161"/>
        <v>0</v>
      </c>
      <c r="G102" s="17"/>
      <c r="H102" s="16">
        <f t="shared" si="151"/>
        <v>0</v>
      </c>
      <c r="I102" s="36">
        <f t="shared" si="152"/>
        <v>0</v>
      </c>
      <c r="J102" s="17"/>
      <c r="K102" s="16">
        <f t="shared" si="153"/>
        <v>0</v>
      </c>
      <c r="L102" s="17"/>
      <c r="M102" s="16">
        <f t="shared" si="154"/>
        <v>0</v>
      </c>
      <c r="N102" s="36">
        <f t="shared" si="155"/>
        <v>0</v>
      </c>
      <c r="O102" s="17"/>
      <c r="P102" s="16">
        <f t="shared" si="156"/>
        <v>0</v>
      </c>
      <c r="Q102" s="17"/>
      <c r="R102" s="16">
        <f t="shared" si="157"/>
        <v>0</v>
      </c>
      <c r="S102" s="36">
        <f t="shared" si="158"/>
        <v>0</v>
      </c>
      <c r="T102" s="17">
        <f t="shared" si="159"/>
        <v>0</v>
      </c>
      <c r="U102" s="39">
        <f t="shared" ref="U102" si="172">S102+N102+I102</f>
        <v>0</v>
      </c>
    </row>
    <row r="103" spans="1:21" s="18" customFormat="1" ht="14.4" thickBot="1" x14ac:dyDescent="0.3">
      <c r="B103" s="19"/>
      <c r="C103" s="20"/>
      <c r="D103" s="21"/>
      <c r="E103" s="22"/>
      <c r="F103" s="23">
        <f>SUM(F92:F102)</f>
        <v>1413.6</v>
      </c>
      <c r="G103" s="22"/>
      <c r="H103" s="23">
        <f>SUM(H92:H102)</f>
        <v>1361.48</v>
      </c>
      <c r="I103" s="26">
        <f>SUM(I92:I102)</f>
        <v>2775.08</v>
      </c>
      <c r="J103" s="22"/>
      <c r="K103" s="23">
        <f>SUM(K92:K102)</f>
        <v>2103.52</v>
      </c>
      <c r="L103" s="22"/>
      <c r="M103" s="23">
        <f>SUM(M92:M102)</f>
        <v>1106</v>
      </c>
      <c r="N103" s="26">
        <f>SUM(N92:N102)</f>
        <v>3209.52</v>
      </c>
      <c r="O103" s="22"/>
      <c r="P103" s="23">
        <f>SUM(P92:P102)</f>
        <v>1863.4</v>
      </c>
      <c r="Q103" s="22"/>
      <c r="R103" s="23">
        <f>SUM(R92:R102)</f>
        <v>2293.1</v>
      </c>
      <c r="S103" s="26">
        <f>SUM(S92:S102)</f>
        <v>4156.5</v>
      </c>
      <c r="T103" s="24"/>
      <c r="U103" s="25">
        <f>SUM(U92:U102)</f>
        <v>10141.1</v>
      </c>
    </row>
    <row r="104" spans="1:21" ht="17.399999999999999" x14ac:dyDescent="0.3">
      <c r="A104" s="18"/>
      <c r="B104" s="10" t="s">
        <v>27</v>
      </c>
      <c r="C104" s="11"/>
      <c r="D104" s="12"/>
      <c r="E104" s="13">
        <v>2303</v>
      </c>
      <c r="F104" s="14">
        <v>45935</v>
      </c>
      <c r="G104" s="13">
        <v>2315</v>
      </c>
      <c r="H104" s="14">
        <v>45945</v>
      </c>
      <c r="I104" s="13"/>
      <c r="J104" s="13">
        <v>2324</v>
      </c>
      <c r="K104" s="14">
        <v>45963</v>
      </c>
      <c r="L104" s="13"/>
      <c r="M104" s="14"/>
      <c r="N104" s="15"/>
      <c r="O104" s="13">
        <v>2360</v>
      </c>
      <c r="P104" s="14">
        <v>45993</v>
      </c>
      <c r="Q104" s="13"/>
      <c r="R104" s="14"/>
      <c r="S104" s="15"/>
      <c r="T104" s="15"/>
      <c r="U104" s="15"/>
    </row>
    <row r="105" spans="1:21" s="18" customFormat="1" x14ac:dyDescent="0.25">
      <c r="B105" s="16" t="s">
        <v>62</v>
      </c>
      <c r="C105" s="17">
        <v>1000</v>
      </c>
      <c r="D105" s="16">
        <v>74.23</v>
      </c>
      <c r="E105" s="17"/>
      <c r="F105" s="16">
        <f t="shared" ref="F105:F107" si="173">E105*D105</f>
        <v>0</v>
      </c>
      <c r="G105" s="17"/>
      <c r="H105" s="16">
        <f t="shared" ref="H105:H107" si="174">G105*D105</f>
        <v>0</v>
      </c>
      <c r="I105" s="36">
        <f t="shared" ref="I105:I107" si="175">(G105+E105)*D105</f>
        <v>0</v>
      </c>
      <c r="J105" s="17"/>
      <c r="K105" s="16">
        <f t="shared" ref="K105:K107" si="176">J105*D105</f>
        <v>0</v>
      </c>
      <c r="L105" s="17"/>
      <c r="M105" s="16">
        <f t="shared" ref="M105:M107" si="177">L105*D105</f>
        <v>0</v>
      </c>
      <c r="N105" s="36">
        <f t="shared" ref="N105:N107" si="178">(L105+J105)*D105</f>
        <v>0</v>
      </c>
      <c r="O105" s="17"/>
      <c r="P105" s="16">
        <f t="shared" ref="P105:P107" si="179">O105*D105</f>
        <v>0</v>
      </c>
      <c r="Q105" s="17"/>
      <c r="R105" s="16">
        <f t="shared" ref="R105:R107" si="180">Q105*D105</f>
        <v>0</v>
      </c>
      <c r="S105" s="36">
        <f t="shared" ref="S105:S107" si="181">(Q105+O105)*D105</f>
        <v>0</v>
      </c>
      <c r="T105" s="17">
        <f>G105+E105+J105+L105+O105+Q105</f>
        <v>0</v>
      </c>
      <c r="U105" s="39">
        <f t="shared" ref="U105:U107" si="182">S105+N105+I105</f>
        <v>0</v>
      </c>
    </row>
    <row r="106" spans="1:21" s="18" customFormat="1" x14ac:dyDescent="0.25">
      <c r="B106" s="16" t="s">
        <v>63</v>
      </c>
      <c r="C106" s="17">
        <v>1000</v>
      </c>
      <c r="D106" s="16">
        <v>74.22</v>
      </c>
      <c r="E106" s="17"/>
      <c r="F106" s="16">
        <f t="shared" si="173"/>
        <v>0</v>
      </c>
      <c r="G106" s="17"/>
      <c r="H106" s="16">
        <f t="shared" si="174"/>
        <v>0</v>
      </c>
      <c r="I106" s="36">
        <f t="shared" si="175"/>
        <v>0</v>
      </c>
      <c r="J106" s="17"/>
      <c r="K106" s="16">
        <f t="shared" si="176"/>
        <v>0</v>
      </c>
      <c r="L106" s="17"/>
      <c r="M106" s="16">
        <f t="shared" si="177"/>
        <v>0</v>
      </c>
      <c r="N106" s="36">
        <f t="shared" si="178"/>
        <v>0</v>
      </c>
      <c r="O106" s="17"/>
      <c r="P106" s="16">
        <f t="shared" si="179"/>
        <v>0</v>
      </c>
      <c r="Q106" s="17"/>
      <c r="R106" s="16">
        <f t="shared" si="180"/>
        <v>0</v>
      </c>
      <c r="S106" s="36">
        <f t="shared" si="181"/>
        <v>0</v>
      </c>
      <c r="T106" s="17">
        <f t="shared" ref="T106:T107" si="183">G106+E106+J106+L106+O106+Q106</f>
        <v>0</v>
      </c>
      <c r="U106" s="39">
        <f t="shared" si="182"/>
        <v>0</v>
      </c>
    </row>
    <row r="107" spans="1:21" s="18" customFormat="1" x14ac:dyDescent="0.25">
      <c r="B107" s="16" t="s">
        <v>64</v>
      </c>
      <c r="C107" s="17">
        <v>1000</v>
      </c>
      <c r="D107" s="16">
        <v>74.23</v>
      </c>
      <c r="E107" s="17"/>
      <c r="F107" s="16">
        <f t="shared" si="173"/>
        <v>0</v>
      </c>
      <c r="G107" s="17"/>
      <c r="H107" s="16">
        <f t="shared" si="174"/>
        <v>0</v>
      </c>
      <c r="I107" s="36">
        <f t="shared" si="175"/>
        <v>0</v>
      </c>
      <c r="J107" s="17"/>
      <c r="K107" s="16">
        <f t="shared" si="176"/>
        <v>0</v>
      </c>
      <c r="L107" s="17"/>
      <c r="M107" s="16">
        <f t="shared" si="177"/>
        <v>0</v>
      </c>
      <c r="N107" s="36">
        <f t="shared" si="178"/>
        <v>0</v>
      </c>
      <c r="O107" s="17"/>
      <c r="P107" s="16">
        <f t="shared" si="179"/>
        <v>0</v>
      </c>
      <c r="Q107" s="17"/>
      <c r="R107" s="16">
        <f t="shared" si="180"/>
        <v>0</v>
      </c>
      <c r="S107" s="36">
        <f t="shared" si="181"/>
        <v>0</v>
      </c>
      <c r="T107" s="17">
        <f t="shared" si="183"/>
        <v>0</v>
      </c>
      <c r="U107" s="39">
        <f t="shared" si="182"/>
        <v>0</v>
      </c>
    </row>
    <row r="108" spans="1:21" s="18" customFormat="1" x14ac:dyDescent="0.25">
      <c r="B108" s="16" t="s">
        <v>15</v>
      </c>
      <c r="C108" s="17">
        <v>1000</v>
      </c>
      <c r="D108" s="16">
        <v>74.22</v>
      </c>
      <c r="E108" s="17"/>
      <c r="F108" s="16">
        <f t="shared" ref="F105:F109" si="184">E108*D108</f>
        <v>0</v>
      </c>
      <c r="G108" s="17"/>
      <c r="H108" s="16">
        <f t="shared" ref="H105:H114" si="185">G108*D108</f>
        <v>0</v>
      </c>
      <c r="I108" s="36">
        <f t="shared" ref="I105:I114" si="186">(G108+E108)*D108</f>
        <v>0</v>
      </c>
      <c r="J108" s="17"/>
      <c r="K108" s="16">
        <f t="shared" ref="K105:K114" si="187">J108*D108</f>
        <v>0</v>
      </c>
      <c r="L108" s="17"/>
      <c r="M108" s="16">
        <f t="shared" ref="M105:M114" si="188">L108*D108</f>
        <v>0</v>
      </c>
      <c r="N108" s="36">
        <f t="shared" ref="N105:N114" si="189">(L108+J108)*D108</f>
        <v>0</v>
      </c>
      <c r="O108" s="17"/>
      <c r="P108" s="16">
        <f t="shared" ref="P105:P114" si="190">O108*D108</f>
        <v>0</v>
      </c>
      <c r="Q108" s="17"/>
      <c r="R108" s="16">
        <f t="shared" ref="R105:R114" si="191">Q108*D108</f>
        <v>0</v>
      </c>
      <c r="S108" s="36">
        <f t="shared" ref="S105:S114" si="192">(Q108+O108)*D108</f>
        <v>0</v>
      </c>
      <c r="T108" s="17">
        <f t="shared" ref="T108:T114" si="193">G108+E108+J108+L108+O108+Q108</f>
        <v>0</v>
      </c>
      <c r="U108" s="39">
        <f t="shared" ref="U105:U113" si="194">S108+N108+I108</f>
        <v>0</v>
      </c>
    </row>
    <row r="109" spans="1:21" s="18" customFormat="1" x14ac:dyDescent="0.25">
      <c r="B109" s="16" t="s">
        <v>17</v>
      </c>
      <c r="C109" s="17">
        <v>500</v>
      </c>
      <c r="D109" s="16">
        <v>33.5</v>
      </c>
      <c r="E109" s="17">
        <v>15</v>
      </c>
      <c r="F109" s="16">
        <f t="shared" si="184"/>
        <v>502.5</v>
      </c>
      <c r="G109" s="17">
        <v>30</v>
      </c>
      <c r="H109" s="16">
        <f t="shared" si="185"/>
        <v>1005</v>
      </c>
      <c r="I109" s="36">
        <f t="shared" si="186"/>
        <v>1507.5</v>
      </c>
      <c r="J109" s="17">
        <v>25</v>
      </c>
      <c r="K109" s="16">
        <f t="shared" si="187"/>
        <v>837.5</v>
      </c>
      <c r="L109" s="17"/>
      <c r="M109" s="16">
        <f t="shared" si="188"/>
        <v>0</v>
      </c>
      <c r="N109" s="36">
        <f t="shared" si="189"/>
        <v>837.5</v>
      </c>
      <c r="O109" s="17">
        <v>30</v>
      </c>
      <c r="P109" s="16">
        <f t="shared" si="190"/>
        <v>1005</v>
      </c>
      <c r="Q109" s="17"/>
      <c r="R109" s="16">
        <f t="shared" si="191"/>
        <v>0</v>
      </c>
      <c r="S109" s="36">
        <f t="shared" si="192"/>
        <v>1005</v>
      </c>
      <c r="T109" s="17">
        <f t="shared" si="193"/>
        <v>100</v>
      </c>
      <c r="U109" s="39">
        <f t="shared" si="194"/>
        <v>3350</v>
      </c>
    </row>
    <row r="110" spans="1:21" s="18" customFormat="1" x14ac:dyDescent="0.25">
      <c r="B110" s="16" t="s">
        <v>18</v>
      </c>
      <c r="C110" s="17">
        <v>500</v>
      </c>
      <c r="D110" s="16">
        <v>49</v>
      </c>
      <c r="E110" s="17"/>
      <c r="F110" s="16">
        <f>E110*D110</f>
        <v>0</v>
      </c>
      <c r="G110" s="17"/>
      <c r="H110" s="16">
        <f t="shared" si="185"/>
        <v>0</v>
      </c>
      <c r="I110" s="36">
        <f t="shared" si="186"/>
        <v>0</v>
      </c>
      <c r="J110" s="17"/>
      <c r="K110" s="16">
        <f t="shared" si="187"/>
        <v>0</v>
      </c>
      <c r="L110" s="17"/>
      <c r="M110" s="16">
        <f t="shared" si="188"/>
        <v>0</v>
      </c>
      <c r="N110" s="36">
        <f t="shared" si="189"/>
        <v>0</v>
      </c>
      <c r="O110" s="17"/>
      <c r="P110" s="16">
        <f t="shared" si="190"/>
        <v>0</v>
      </c>
      <c r="Q110" s="17"/>
      <c r="R110" s="16">
        <f t="shared" si="191"/>
        <v>0</v>
      </c>
      <c r="S110" s="36">
        <f t="shared" si="192"/>
        <v>0</v>
      </c>
      <c r="T110" s="17">
        <f t="shared" si="193"/>
        <v>0</v>
      </c>
      <c r="U110" s="39">
        <f t="shared" si="194"/>
        <v>0</v>
      </c>
    </row>
    <row r="111" spans="1:21" s="18" customFormat="1" x14ac:dyDescent="0.25">
      <c r="B111" s="16" t="s">
        <v>52</v>
      </c>
      <c r="C111" s="17">
        <v>1</v>
      </c>
      <c r="D111" s="16">
        <v>494.8</v>
      </c>
      <c r="E111" s="17"/>
      <c r="F111" s="16">
        <f t="shared" ref="F111:F114" si="195">E111*D111</f>
        <v>0</v>
      </c>
      <c r="G111" s="17"/>
      <c r="H111" s="16">
        <f t="shared" si="185"/>
        <v>0</v>
      </c>
      <c r="I111" s="36">
        <f t="shared" si="186"/>
        <v>0</v>
      </c>
      <c r="J111" s="17"/>
      <c r="K111" s="16">
        <f t="shared" si="187"/>
        <v>0</v>
      </c>
      <c r="L111" s="17"/>
      <c r="M111" s="16">
        <f t="shared" si="188"/>
        <v>0</v>
      </c>
      <c r="N111" s="36">
        <f t="shared" si="189"/>
        <v>0</v>
      </c>
      <c r="O111" s="17"/>
      <c r="P111" s="16">
        <f t="shared" si="190"/>
        <v>0</v>
      </c>
      <c r="Q111" s="17"/>
      <c r="R111" s="16">
        <f t="shared" si="191"/>
        <v>0</v>
      </c>
      <c r="S111" s="36">
        <f t="shared" si="192"/>
        <v>0</v>
      </c>
      <c r="T111" s="17">
        <f t="shared" si="193"/>
        <v>0</v>
      </c>
      <c r="U111" s="39">
        <f t="shared" si="194"/>
        <v>0</v>
      </c>
    </row>
    <row r="112" spans="1:21" s="18" customFormat="1" x14ac:dyDescent="0.25">
      <c r="B112" s="16" t="s">
        <v>20</v>
      </c>
      <c r="C112" s="17">
        <v>500</v>
      </c>
      <c r="D112" s="16">
        <v>72.2</v>
      </c>
      <c r="E112" s="17">
        <v>15</v>
      </c>
      <c r="F112" s="16">
        <f t="shared" si="195"/>
        <v>1083</v>
      </c>
      <c r="G112" s="17"/>
      <c r="H112" s="16">
        <f t="shared" si="185"/>
        <v>0</v>
      </c>
      <c r="I112" s="36">
        <f t="shared" si="186"/>
        <v>1083</v>
      </c>
      <c r="J112" s="17">
        <v>15</v>
      </c>
      <c r="K112" s="16">
        <f t="shared" si="187"/>
        <v>1083</v>
      </c>
      <c r="L112" s="17"/>
      <c r="M112" s="16">
        <f t="shared" si="188"/>
        <v>0</v>
      </c>
      <c r="N112" s="36">
        <f t="shared" si="189"/>
        <v>1083</v>
      </c>
      <c r="O112" s="17"/>
      <c r="P112" s="16">
        <f t="shared" si="190"/>
        <v>0</v>
      </c>
      <c r="Q112" s="17"/>
      <c r="R112" s="16">
        <f t="shared" si="191"/>
        <v>0</v>
      </c>
      <c r="S112" s="36">
        <f t="shared" si="192"/>
        <v>0</v>
      </c>
      <c r="T112" s="17">
        <f t="shared" si="193"/>
        <v>30</v>
      </c>
      <c r="U112" s="39">
        <f t="shared" si="194"/>
        <v>2166</v>
      </c>
    </row>
    <row r="113" spans="2:21" s="18" customFormat="1" x14ac:dyDescent="0.25">
      <c r="B113" s="16" t="s">
        <v>61</v>
      </c>
      <c r="C113" s="17">
        <v>1000</v>
      </c>
      <c r="D113" s="16">
        <v>180</v>
      </c>
      <c r="E113" s="17"/>
      <c r="F113" s="16">
        <f t="shared" si="195"/>
        <v>0</v>
      </c>
      <c r="G113" s="17"/>
      <c r="H113" s="16">
        <f t="shared" si="185"/>
        <v>0</v>
      </c>
      <c r="I113" s="36">
        <f t="shared" si="186"/>
        <v>0</v>
      </c>
      <c r="J113" s="17"/>
      <c r="K113" s="16">
        <f t="shared" si="187"/>
        <v>0</v>
      </c>
      <c r="L113" s="17"/>
      <c r="M113" s="16">
        <f t="shared" si="188"/>
        <v>0</v>
      </c>
      <c r="N113" s="36">
        <f t="shared" si="189"/>
        <v>0</v>
      </c>
      <c r="O113" s="17"/>
      <c r="P113" s="16">
        <f t="shared" si="190"/>
        <v>0</v>
      </c>
      <c r="Q113" s="17"/>
      <c r="R113" s="16">
        <f t="shared" si="191"/>
        <v>0</v>
      </c>
      <c r="S113" s="36">
        <f t="shared" si="192"/>
        <v>0</v>
      </c>
      <c r="T113" s="17">
        <f t="shared" si="193"/>
        <v>0</v>
      </c>
      <c r="U113" s="39">
        <f t="shared" si="194"/>
        <v>0</v>
      </c>
    </row>
    <row r="114" spans="2:21" s="18" customFormat="1" ht="14.4" thickBot="1" x14ac:dyDescent="0.3">
      <c r="B114" s="16" t="s">
        <v>53</v>
      </c>
      <c r="C114" s="17">
        <v>1000</v>
      </c>
      <c r="D114" s="16">
        <v>78</v>
      </c>
      <c r="E114" s="17"/>
      <c r="F114" s="16">
        <f t="shared" si="195"/>
        <v>0</v>
      </c>
      <c r="G114" s="17"/>
      <c r="H114" s="16">
        <f t="shared" si="185"/>
        <v>0</v>
      </c>
      <c r="I114" s="36">
        <f t="shared" si="186"/>
        <v>0</v>
      </c>
      <c r="J114" s="17"/>
      <c r="K114" s="16">
        <f t="shared" si="187"/>
        <v>0</v>
      </c>
      <c r="L114" s="17"/>
      <c r="M114" s="16">
        <f t="shared" si="188"/>
        <v>0</v>
      </c>
      <c r="N114" s="36">
        <f t="shared" si="189"/>
        <v>0</v>
      </c>
      <c r="O114" s="17"/>
      <c r="P114" s="16">
        <f t="shared" si="190"/>
        <v>0</v>
      </c>
      <c r="Q114" s="17"/>
      <c r="R114" s="16">
        <f t="shared" si="191"/>
        <v>0</v>
      </c>
      <c r="S114" s="36">
        <f t="shared" si="192"/>
        <v>0</v>
      </c>
      <c r="T114" s="17">
        <f t="shared" si="193"/>
        <v>0</v>
      </c>
      <c r="U114" s="39">
        <f t="shared" ref="U114" si="196">S114+N114+I114</f>
        <v>0</v>
      </c>
    </row>
    <row r="115" spans="2:21" s="18" customFormat="1" ht="14.4" thickBot="1" x14ac:dyDescent="0.3">
      <c r="B115" s="19"/>
      <c r="C115" s="20"/>
      <c r="D115" s="21"/>
      <c r="E115" s="22"/>
      <c r="F115" s="23">
        <f>SUM(F105:F114)</f>
        <v>1585.5</v>
      </c>
      <c r="G115" s="22"/>
      <c r="H115" s="23">
        <f>SUM(H105:H114)</f>
        <v>1005</v>
      </c>
      <c r="I115" s="26">
        <f>SUM(I105:I114)</f>
        <v>2590.5</v>
      </c>
      <c r="J115" s="22"/>
      <c r="K115" s="23">
        <f>SUM(K105:K114)</f>
        <v>1920.5</v>
      </c>
      <c r="L115" s="22"/>
      <c r="M115" s="23">
        <f>SUM(M105:M114)</f>
        <v>0</v>
      </c>
      <c r="N115" s="26">
        <f>SUM(N105:N114)</f>
        <v>1920.5</v>
      </c>
      <c r="O115" s="22"/>
      <c r="P115" s="23">
        <f>SUM(P105:P114)</f>
        <v>1005</v>
      </c>
      <c r="Q115" s="22"/>
      <c r="R115" s="23">
        <f>SUM(R105:R114)</f>
        <v>0</v>
      </c>
      <c r="S115" s="26">
        <f>SUM(S105:S114)</f>
        <v>1005</v>
      </c>
      <c r="T115" s="24"/>
      <c r="U115" s="25">
        <f>SUM(U105:U114)</f>
        <v>5516</v>
      </c>
    </row>
    <row r="116" spans="2:21" ht="17.399999999999999" x14ac:dyDescent="0.3">
      <c r="B116" s="10" t="s">
        <v>55</v>
      </c>
      <c r="C116" s="11"/>
      <c r="D116" s="12"/>
      <c r="E116" s="13"/>
      <c r="F116" s="14"/>
      <c r="G116" s="13"/>
      <c r="H116" s="14"/>
      <c r="I116" s="13"/>
      <c r="J116" s="13">
        <v>2340</v>
      </c>
      <c r="K116" s="14">
        <v>45974</v>
      </c>
      <c r="L116" s="13"/>
      <c r="M116" s="14"/>
      <c r="N116" s="15"/>
      <c r="O116" s="13">
        <v>2395</v>
      </c>
      <c r="P116" s="14">
        <v>46020</v>
      </c>
      <c r="Q116" s="13"/>
      <c r="R116" s="14"/>
      <c r="S116" s="15"/>
      <c r="T116" s="15"/>
      <c r="U116" s="15"/>
    </row>
    <row r="117" spans="2:21" s="18" customFormat="1" x14ac:dyDescent="0.25">
      <c r="B117" s="16" t="s">
        <v>62</v>
      </c>
      <c r="C117" s="17">
        <v>1000</v>
      </c>
      <c r="D117" s="16">
        <v>74.23</v>
      </c>
      <c r="E117" s="17"/>
      <c r="F117" s="16">
        <f t="shared" ref="F117:F119" si="197">E117*D117</f>
        <v>0</v>
      </c>
      <c r="G117" s="17"/>
      <c r="H117" s="16">
        <f t="shared" ref="H117:H119" si="198">G117*D117</f>
        <v>0</v>
      </c>
      <c r="I117" s="36">
        <f t="shared" ref="I117:I119" si="199">(G117+E117)*D117</f>
        <v>0</v>
      </c>
      <c r="J117" s="17">
        <v>1</v>
      </c>
      <c r="K117" s="16">
        <f t="shared" ref="K117:K119" si="200">J117*D117</f>
        <v>74.23</v>
      </c>
      <c r="L117" s="17"/>
      <c r="M117" s="16">
        <f t="shared" ref="M117:M119" si="201">L117*D117</f>
        <v>0</v>
      </c>
      <c r="N117" s="36">
        <f t="shared" ref="N117:N119" si="202">(L117+J117)*D117</f>
        <v>74.23</v>
      </c>
      <c r="O117" s="17"/>
      <c r="P117" s="16">
        <f t="shared" ref="P117:P119" si="203">O117*D117</f>
        <v>0</v>
      </c>
      <c r="Q117" s="17"/>
      <c r="R117" s="16">
        <f t="shared" ref="R117:R119" si="204">Q117*D117</f>
        <v>0</v>
      </c>
      <c r="S117" s="36">
        <f t="shared" ref="S117:S119" si="205">(Q117+O117)*D117</f>
        <v>0</v>
      </c>
      <c r="T117" s="17">
        <f>G117+E117+J117+L117+O117+Q117</f>
        <v>1</v>
      </c>
      <c r="U117" s="39">
        <f t="shared" ref="U117:U119" si="206">S117+N117+I117</f>
        <v>74.23</v>
      </c>
    </row>
    <row r="118" spans="2:21" s="18" customFormat="1" x14ac:dyDescent="0.25">
      <c r="B118" s="16" t="s">
        <v>63</v>
      </c>
      <c r="C118" s="17">
        <v>1000</v>
      </c>
      <c r="D118" s="16">
        <v>74.22</v>
      </c>
      <c r="E118" s="17"/>
      <c r="F118" s="16">
        <f t="shared" si="197"/>
        <v>0</v>
      </c>
      <c r="G118" s="17"/>
      <c r="H118" s="16">
        <f t="shared" si="198"/>
        <v>0</v>
      </c>
      <c r="I118" s="36">
        <f t="shared" si="199"/>
        <v>0</v>
      </c>
      <c r="J118" s="17">
        <v>1</v>
      </c>
      <c r="K118" s="16">
        <f t="shared" si="200"/>
        <v>74.22</v>
      </c>
      <c r="L118" s="17"/>
      <c r="M118" s="16">
        <f t="shared" si="201"/>
        <v>0</v>
      </c>
      <c r="N118" s="36">
        <f t="shared" si="202"/>
        <v>74.22</v>
      </c>
      <c r="O118" s="17"/>
      <c r="P118" s="16">
        <f t="shared" si="203"/>
        <v>0</v>
      </c>
      <c r="Q118" s="17"/>
      <c r="R118" s="16">
        <f t="shared" si="204"/>
        <v>0</v>
      </c>
      <c r="S118" s="36">
        <f t="shared" si="205"/>
        <v>0</v>
      </c>
      <c r="T118" s="17">
        <f t="shared" ref="T118:T119" si="207">G118+E118+J118+L118+O118+Q118</f>
        <v>1</v>
      </c>
      <c r="U118" s="39">
        <f t="shared" si="206"/>
        <v>74.22</v>
      </c>
    </row>
    <row r="119" spans="2:21" s="18" customFormat="1" x14ac:dyDescent="0.25">
      <c r="B119" s="16" t="s">
        <v>64</v>
      </c>
      <c r="C119" s="17">
        <v>1000</v>
      </c>
      <c r="D119" s="16">
        <v>74.23</v>
      </c>
      <c r="E119" s="17"/>
      <c r="F119" s="16">
        <f t="shared" si="197"/>
        <v>0</v>
      </c>
      <c r="G119" s="17"/>
      <c r="H119" s="16">
        <f t="shared" si="198"/>
        <v>0</v>
      </c>
      <c r="I119" s="36">
        <f t="shared" si="199"/>
        <v>0</v>
      </c>
      <c r="J119" s="17">
        <v>1</v>
      </c>
      <c r="K119" s="16">
        <f t="shared" si="200"/>
        <v>74.23</v>
      </c>
      <c r="L119" s="17"/>
      <c r="M119" s="16">
        <f t="shared" si="201"/>
        <v>0</v>
      </c>
      <c r="N119" s="36">
        <f t="shared" si="202"/>
        <v>74.23</v>
      </c>
      <c r="O119" s="17"/>
      <c r="P119" s="16">
        <f t="shared" si="203"/>
        <v>0</v>
      </c>
      <c r="Q119" s="17"/>
      <c r="R119" s="16">
        <f t="shared" si="204"/>
        <v>0</v>
      </c>
      <c r="S119" s="36">
        <f t="shared" si="205"/>
        <v>0</v>
      </c>
      <c r="T119" s="17">
        <f t="shared" si="207"/>
        <v>1</v>
      </c>
      <c r="U119" s="39">
        <f t="shared" si="206"/>
        <v>74.23</v>
      </c>
    </row>
    <row r="120" spans="2:21" s="18" customFormat="1" x14ac:dyDescent="0.25">
      <c r="B120" s="16" t="s">
        <v>15</v>
      </c>
      <c r="C120" s="17">
        <v>1000</v>
      </c>
      <c r="D120" s="16">
        <v>74.22</v>
      </c>
      <c r="E120" s="17"/>
      <c r="F120" s="16">
        <f t="shared" ref="F117:F121" si="208">E120*D120</f>
        <v>0</v>
      </c>
      <c r="G120" s="17"/>
      <c r="H120" s="16">
        <f t="shared" ref="H117:H127" si="209">G120*D120</f>
        <v>0</v>
      </c>
      <c r="I120" s="36">
        <f t="shared" ref="I117:I127" si="210">(G120+E120)*D120</f>
        <v>0</v>
      </c>
      <c r="J120" s="17"/>
      <c r="K120" s="16">
        <f t="shared" ref="K117:K127" si="211">J120*D120</f>
        <v>0</v>
      </c>
      <c r="L120" s="17"/>
      <c r="M120" s="16">
        <f t="shared" ref="M117:M127" si="212">L120*D120</f>
        <v>0</v>
      </c>
      <c r="N120" s="36">
        <f t="shared" ref="N117:N127" si="213">(L120+J120)*D120</f>
        <v>0</v>
      </c>
      <c r="O120" s="17"/>
      <c r="P120" s="16">
        <f t="shared" ref="P117:P127" si="214">O120*D120</f>
        <v>0</v>
      </c>
      <c r="Q120" s="17"/>
      <c r="R120" s="16">
        <f t="shared" ref="R117:R127" si="215">Q120*D120</f>
        <v>0</v>
      </c>
      <c r="S120" s="36">
        <f t="shared" ref="S117:S127" si="216">(Q120+O120)*D120</f>
        <v>0</v>
      </c>
      <c r="T120" s="17">
        <f t="shared" ref="T120:T127" si="217">G120+E120+J120+L120+O120+Q120</f>
        <v>0</v>
      </c>
      <c r="U120" s="39">
        <f t="shared" ref="U117:U127" si="218">S120+N120+I120</f>
        <v>0</v>
      </c>
    </row>
    <row r="121" spans="2:21" s="18" customFormat="1" x14ac:dyDescent="0.25">
      <c r="B121" s="16" t="s">
        <v>17</v>
      </c>
      <c r="C121" s="17">
        <v>500</v>
      </c>
      <c r="D121" s="16">
        <v>33.5</v>
      </c>
      <c r="E121" s="17"/>
      <c r="F121" s="16">
        <f t="shared" si="208"/>
        <v>0</v>
      </c>
      <c r="G121" s="17"/>
      <c r="H121" s="16">
        <f t="shared" si="209"/>
        <v>0</v>
      </c>
      <c r="I121" s="36">
        <f t="shared" si="210"/>
        <v>0</v>
      </c>
      <c r="J121" s="17">
        <v>20</v>
      </c>
      <c r="K121" s="16">
        <f t="shared" si="211"/>
        <v>670</v>
      </c>
      <c r="L121" s="17"/>
      <c r="M121" s="16">
        <f t="shared" si="212"/>
        <v>0</v>
      </c>
      <c r="N121" s="36">
        <f t="shared" si="213"/>
        <v>670</v>
      </c>
      <c r="O121" s="17">
        <v>20</v>
      </c>
      <c r="P121" s="16">
        <f t="shared" si="214"/>
        <v>670</v>
      </c>
      <c r="Q121" s="17"/>
      <c r="R121" s="16">
        <f t="shared" si="215"/>
        <v>0</v>
      </c>
      <c r="S121" s="36">
        <f t="shared" si="216"/>
        <v>670</v>
      </c>
      <c r="T121" s="17">
        <f t="shared" si="217"/>
        <v>40</v>
      </c>
      <c r="U121" s="39">
        <f t="shared" si="218"/>
        <v>1340</v>
      </c>
    </row>
    <row r="122" spans="2:21" s="18" customFormat="1" x14ac:dyDescent="0.25">
      <c r="B122" s="16" t="s">
        <v>18</v>
      </c>
      <c r="C122" s="17">
        <v>500</v>
      </c>
      <c r="D122" s="16">
        <v>49</v>
      </c>
      <c r="E122" s="17"/>
      <c r="F122" s="16">
        <f>E122*D122</f>
        <v>0</v>
      </c>
      <c r="G122" s="17"/>
      <c r="H122" s="16">
        <f t="shared" si="209"/>
        <v>0</v>
      </c>
      <c r="I122" s="36">
        <f t="shared" si="210"/>
        <v>0</v>
      </c>
      <c r="J122" s="17">
        <v>10</v>
      </c>
      <c r="K122" s="16">
        <f t="shared" si="211"/>
        <v>490</v>
      </c>
      <c r="L122" s="17"/>
      <c r="M122" s="16">
        <f t="shared" si="212"/>
        <v>0</v>
      </c>
      <c r="N122" s="36">
        <f t="shared" si="213"/>
        <v>490</v>
      </c>
      <c r="O122" s="17">
        <v>30</v>
      </c>
      <c r="P122" s="16">
        <f t="shared" si="214"/>
        <v>1470</v>
      </c>
      <c r="Q122" s="17"/>
      <c r="R122" s="16">
        <f t="shared" si="215"/>
        <v>0</v>
      </c>
      <c r="S122" s="36">
        <f t="shared" si="216"/>
        <v>1470</v>
      </c>
      <c r="T122" s="17">
        <f t="shared" si="217"/>
        <v>40</v>
      </c>
      <c r="U122" s="39">
        <f t="shared" si="218"/>
        <v>1960</v>
      </c>
    </row>
    <row r="123" spans="2:21" s="18" customFormat="1" x14ac:dyDescent="0.25">
      <c r="B123" s="16" t="s">
        <v>19</v>
      </c>
      <c r="C123" s="17">
        <v>1</v>
      </c>
      <c r="D123" s="16">
        <v>494.8</v>
      </c>
      <c r="E123" s="17"/>
      <c r="F123" s="16">
        <f t="shared" ref="F123:F127" si="219">E123*D123</f>
        <v>0</v>
      </c>
      <c r="G123" s="17"/>
      <c r="H123" s="16">
        <f t="shared" si="209"/>
        <v>0</v>
      </c>
      <c r="I123" s="36">
        <f t="shared" si="210"/>
        <v>0</v>
      </c>
      <c r="J123" s="17"/>
      <c r="K123" s="16">
        <f t="shared" si="211"/>
        <v>0</v>
      </c>
      <c r="L123" s="17"/>
      <c r="M123" s="16">
        <f t="shared" si="212"/>
        <v>0</v>
      </c>
      <c r="N123" s="36">
        <f t="shared" si="213"/>
        <v>0</v>
      </c>
      <c r="O123" s="17"/>
      <c r="P123" s="16">
        <f t="shared" si="214"/>
        <v>0</v>
      </c>
      <c r="Q123" s="17"/>
      <c r="R123" s="16">
        <f t="shared" si="215"/>
        <v>0</v>
      </c>
      <c r="S123" s="36">
        <f t="shared" si="216"/>
        <v>0</v>
      </c>
      <c r="T123" s="17">
        <f t="shared" si="217"/>
        <v>0</v>
      </c>
      <c r="U123" s="39">
        <f t="shared" si="218"/>
        <v>0</v>
      </c>
    </row>
    <row r="124" spans="2:21" s="18" customFormat="1" x14ac:dyDescent="0.25">
      <c r="B124" s="16" t="s">
        <v>20</v>
      </c>
      <c r="C124" s="17">
        <v>500</v>
      </c>
      <c r="D124" s="16">
        <v>72.2</v>
      </c>
      <c r="E124" s="17"/>
      <c r="F124" s="16">
        <f t="shared" ref="F124:F126" si="220">E124*D124</f>
        <v>0</v>
      </c>
      <c r="G124" s="17"/>
      <c r="H124" s="16">
        <f t="shared" ref="H124:H126" si="221">G124*D124</f>
        <v>0</v>
      </c>
      <c r="I124" s="36">
        <f t="shared" ref="I124:I126" si="222">(G124+E124)*D124</f>
        <v>0</v>
      </c>
      <c r="J124" s="17"/>
      <c r="K124" s="16">
        <f t="shared" ref="K124:K126" si="223">J124*D124</f>
        <v>0</v>
      </c>
      <c r="L124" s="17"/>
      <c r="M124" s="16">
        <f t="shared" ref="M124:M126" si="224">L124*D124</f>
        <v>0</v>
      </c>
      <c r="N124" s="36">
        <f t="shared" ref="N124:N126" si="225">(L124+J124)*D124</f>
        <v>0</v>
      </c>
      <c r="O124" s="17">
        <v>20</v>
      </c>
      <c r="P124" s="16">
        <f t="shared" ref="P124:P126" si="226">O124*D124</f>
        <v>1444</v>
      </c>
      <c r="Q124" s="17"/>
      <c r="R124" s="16">
        <f t="shared" ref="R124:R126" si="227">Q124*D124</f>
        <v>0</v>
      </c>
      <c r="S124" s="36">
        <f t="shared" ref="S124:S126" si="228">(Q124+O124)*D124</f>
        <v>1444</v>
      </c>
      <c r="T124" s="17">
        <f t="shared" ref="T124:T126" si="229">G124+E124+J124+L124+O124+Q124</f>
        <v>20</v>
      </c>
      <c r="U124" s="39">
        <f t="shared" ref="U124:U126" si="230">S124+N124+I124</f>
        <v>1444</v>
      </c>
    </row>
    <row r="125" spans="2:21" s="18" customFormat="1" x14ac:dyDescent="0.25">
      <c r="B125" s="16" t="s">
        <v>61</v>
      </c>
      <c r="C125" s="17">
        <v>1000</v>
      </c>
      <c r="D125" s="16">
        <v>180</v>
      </c>
      <c r="E125" s="17"/>
      <c r="F125" s="16">
        <f t="shared" si="220"/>
        <v>0</v>
      </c>
      <c r="G125" s="17"/>
      <c r="H125" s="16">
        <f t="shared" si="221"/>
        <v>0</v>
      </c>
      <c r="I125" s="36">
        <f t="shared" si="222"/>
        <v>0</v>
      </c>
      <c r="J125" s="17"/>
      <c r="K125" s="16">
        <f t="shared" si="223"/>
        <v>0</v>
      </c>
      <c r="L125" s="17"/>
      <c r="M125" s="16">
        <f t="shared" si="224"/>
        <v>0</v>
      </c>
      <c r="N125" s="36">
        <f t="shared" si="225"/>
        <v>0</v>
      </c>
      <c r="O125" s="17"/>
      <c r="P125" s="16">
        <f t="shared" si="226"/>
        <v>0</v>
      </c>
      <c r="Q125" s="17"/>
      <c r="R125" s="16">
        <f t="shared" si="227"/>
        <v>0</v>
      </c>
      <c r="S125" s="36">
        <f t="shared" si="228"/>
        <v>0</v>
      </c>
      <c r="T125" s="17">
        <f t="shared" si="229"/>
        <v>0</v>
      </c>
      <c r="U125" s="39">
        <f t="shared" si="230"/>
        <v>0</v>
      </c>
    </row>
    <row r="126" spans="2:21" s="18" customFormat="1" x14ac:dyDescent="0.25">
      <c r="B126" s="16" t="s">
        <v>53</v>
      </c>
      <c r="C126" s="17">
        <v>1000</v>
      </c>
      <c r="D126" s="16">
        <v>78</v>
      </c>
      <c r="E126" s="17"/>
      <c r="F126" s="16">
        <f t="shared" si="220"/>
        <v>0</v>
      </c>
      <c r="G126" s="17"/>
      <c r="H126" s="16">
        <f t="shared" si="221"/>
        <v>0</v>
      </c>
      <c r="I126" s="36">
        <f t="shared" si="222"/>
        <v>0</v>
      </c>
      <c r="J126" s="17"/>
      <c r="K126" s="16">
        <f t="shared" si="223"/>
        <v>0</v>
      </c>
      <c r="L126" s="17"/>
      <c r="M126" s="16">
        <f t="shared" si="224"/>
        <v>0</v>
      </c>
      <c r="N126" s="36">
        <f t="shared" si="225"/>
        <v>0</v>
      </c>
      <c r="O126" s="17"/>
      <c r="P126" s="16">
        <f t="shared" si="226"/>
        <v>0</v>
      </c>
      <c r="Q126" s="17"/>
      <c r="R126" s="16">
        <f t="shared" si="227"/>
        <v>0</v>
      </c>
      <c r="S126" s="36">
        <f t="shared" si="228"/>
        <v>0</v>
      </c>
      <c r="T126" s="17">
        <f t="shared" si="229"/>
        <v>0</v>
      </c>
      <c r="U126" s="39">
        <f t="shared" si="230"/>
        <v>0</v>
      </c>
    </row>
    <row r="127" spans="2:21" s="18" customFormat="1" ht="14.4" thickBot="1" x14ac:dyDescent="0.3">
      <c r="B127" s="16" t="s">
        <v>57</v>
      </c>
      <c r="C127" s="17">
        <v>1000</v>
      </c>
      <c r="D127" s="16">
        <v>98</v>
      </c>
      <c r="E127" s="17"/>
      <c r="F127" s="16">
        <f t="shared" si="219"/>
        <v>0</v>
      </c>
      <c r="G127" s="17"/>
      <c r="H127" s="16">
        <f t="shared" si="209"/>
        <v>0</v>
      </c>
      <c r="I127" s="36">
        <f t="shared" si="210"/>
        <v>0</v>
      </c>
      <c r="J127" s="17"/>
      <c r="K127" s="16">
        <f t="shared" si="211"/>
        <v>0</v>
      </c>
      <c r="L127" s="17"/>
      <c r="M127" s="16">
        <f t="shared" si="212"/>
        <v>0</v>
      </c>
      <c r="N127" s="36">
        <f t="shared" si="213"/>
        <v>0</v>
      </c>
      <c r="O127" s="17"/>
      <c r="P127" s="16">
        <f t="shared" si="214"/>
        <v>0</v>
      </c>
      <c r="Q127" s="17"/>
      <c r="R127" s="16">
        <f t="shared" si="215"/>
        <v>0</v>
      </c>
      <c r="S127" s="36">
        <f t="shared" si="216"/>
        <v>0</v>
      </c>
      <c r="T127" s="17">
        <f t="shared" si="217"/>
        <v>0</v>
      </c>
      <c r="U127" s="39">
        <f t="shared" si="218"/>
        <v>0</v>
      </c>
    </row>
    <row r="128" spans="2:21" s="18" customFormat="1" ht="14.4" thickBot="1" x14ac:dyDescent="0.3">
      <c r="B128" s="19"/>
      <c r="C128" s="20"/>
      <c r="D128" s="21"/>
      <c r="E128" s="22"/>
      <c r="F128" s="23">
        <f>SUM(F117:F127)</f>
        <v>0</v>
      </c>
      <c r="G128" s="22"/>
      <c r="H128" s="23">
        <f>SUM(H117:H127)</f>
        <v>0</v>
      </c>
      <c r="I128" s="26">
        <f>SUM(I117:I127)</f>
        <v>0</v>
      </c>
      <c r="J128" s="22"/>
      <c r="K128" s="23">
        <f>SUM(K117:K127)</f>
        <v>1382.68</v>
      </c>
      <c r="L128" s="22"/>
      <c r="M128" s="23">
        <f>SUM(M117:M127)</f>
        <v>0</v>
      </c>
      <c r="N128" s="26">
        <f>SUM(N117:N127)</f>
        <v>1382.68</v>
      </c>
      <c r="O128" s="22"/>
      <c r="P128" s="23">
        <f>SUM(P117:P127)</f>
        <v>3584</v>
      </c>
      <c r="Q128" s="22"/>
      <c r="R128" s="23">
        <f>SUM(R117:R127)</f>
        <v>0</v>
      </c>
      <c r="S128" s="26">
        <f>SUM(S117:S127)</f>
        <v>3584</v>
      </c>
      <c r="T128" s="17"/>
      <c r="U128" s="25">
        <f>SUM(U117:U127)</f>
        <v>4966.68</v>
      </c>
    </row>
    <row r="129" spans="2:21" ht="17.399999999999999" x14ac:dyDescent="0.3">
      <c r="B129" s="10" t="s">
        <v>28</v>
      </c>
      <c r="C129" s="11"/>
      <c r="D129" s="12"/>
      <c r="E129" s="13">
        <v>2319</v>
      </c>
      <c r="F129" s="14">
        <v>45952</v>
      </c>
      <c r="G129" s="13"/>
      <c r="H129" s="14"/>
      <c r="I129" s="13"/>
      <c r="J129" s="13">
        <v>2329</v>
      </c>
      <c r="K129" s="14">
        <v>45965</v>
      </c>
      <c r="L129" s="13"/>
      <c r="M129" s="14"/>
      <c r="N129" s="15"/>
      <c r="O129" s="13">
        <v>2383</v>
      </c>
      <c r="P129" s="14">
        <v>46009</v>
      </c>
      <c r="Q129" s="13"/>
      <c r="R129" s="14"/>
      <c r="S129" s="15"/>
      <c r="T129" s="15"/>
      <c r="U129" s="15"/>
    </row>
    <row r="130" spans="2:21" s="18" customFormat="1" x14ac:dyDescent="0.25">
      <c r="B130" s="16" t="s">
        <v>62</v>
      </c>
      <c r="C130" s="17">
        <v>1000</v>
      </c>
      <c r="D130" s="16">
        <v>74.23</v>
      </c>
      <c r="E130" s="17">
        <v>1</v>
      </c>
      <c r="F130" s="16">
        <f t="shared" ref="F130:F132" si="231">E130*D130</f>
        <v>74.23</v>
      </c>
      <c r="G130" s="17"/>
      <c r="H130" s="16">
        <f t="shared" ref="H130:H132" si="232">G130*D130</f>
        <v>0</v>
      </c>
      <c r="I130" s="36">
        <f t="shared" ref="I130:I132" si="233">(G130+E130)*D130</f>
        <v>74.23</v>
      </c>
      <c r="J130" s="17"/>
      <c r="K130" s="16">
        <f t="shared" ref="K130:K132" si="234">J130*D130</f>
        <v>0</v>
      </c>
      <c r="L130" s="17"/>
      <c r="M130" s="16">
        <f t="shared" ref="M130:M132" si="235">L130*D130</f>
        <v>0</v>
      </c>
      <c r="N130" s="36">
        <f t="shared" ref="N130:N132" si="236">(L130+J130)*D130</f>
        <v>0</v>
      </c>
      <c r="O130" s="17"/>
      <c r="P130" s="16">
        <f t="shared" ref="P130:P132" si="237">O130*D130</f>
        <v>0</v>
      </c>
      <c r="Q130" s="17"/>
      <c r="R130" s="16">
        <f t="shared" ref="R130:R132" si="238">Q130*D130</f>
        <v>0</v>
      </c>
      <c r="S130" s="36">
        <f t="shared" ref="S130:S132" si="239">(Q130+O130)*D130</f>
        <v>0</v>
      </c>
      <c r="T130" s="17">
        <f>G130+E130+J130+L130+O130+Q130</f>
        <v>1</v>
      </c>
      <c r="U130" s="39">
        <f t="shared" ref="U130:U132" si="240">S130+N130+I130</f>
        <v>74.23</v>
      </c>
    </row>
    <row r="131" spans="2:21" s="18" customFormat="1" x14ac:dyDescent="0.25">
      <c r="B131" s="16" t="s">
        <v>63</v>
      </c>
      <c r="C131" s="17">
        <v>1000</v>
      </c>
      <c r="D131" s="16">
        <v>74.22</v>
      </c>
      <c r="E131" s="17">
        <v>2</v>
      </c>
      <c r="F131" s="16">
        <f t="shared" si="231"/>
        <v>148.44</v>
      </c>
      <c r="G131" s="17"/>
      <c r="H131" s="16">
        <f t="shared" si="232"/>
        <v>0</v>
      </c>
      <c r="I131" s="36">
        <f t="shared" si="233"/>
        <v>148.44</v>
      </c>
      <c r="J131" s="17"/>
      <c r="K131" s="16">
        <f t="shared" si="234"/>
        <v>0</v>
      </c>
      <c r="L131" s="17"/>
      <c r="M131" s="16">
        <f t="shared" si="235"/>
        <v>0</v>
      </c>
      <c r="N131" s="36">
        <f t="shared" si="236"/>
        <v>0</v>
      </c>
      <c r="O131" s="17"/>
      <c r="P131" s="16">
        <f t="shared" si="237"/>
        <v>0</v>
      </c>
      <c r="Q131" s="17"/>
      <c r="R131" s="16">
        <f t="shared" si="238"/>
        <v>0</v>
      </c>
      <c r="S131" s="36">
        <f t="shared" si="239"/>
        <v>0</v>
      </c>
      <c r="T131" s="17">
        <f t="shared" ref="T131:T132" si="241">G131+E131+J131+L131+O131+Q131</f>
        <v>2</v>
      </c>
      <c r="U131" s="39">
        <f t="shared" si="240"/>
        <v>148.44</v>
      </c>
    </row>
    <row r="132" spans="2:21" s="18" customFormat="1" x14ac:dyDescent="0.25">
      <c r="B132" s="16" t="s">
        <v>64</v>
      </c>
      <c r="C132" s="17">
        <v>1000</v>
      </c>
      <c r="D132" s="16">
        <v>74.23</v>
      </c>
      <c r="E132" s="17">
        <v>1</v>
      </c>
      <c r="F132" s="16">
        <f t="shared" si="231"/>
        <v>74.23</v>
      </c>
      <c r="G132" s="17"/>
      <c r="H132" s="16">
        <f t="shared" si="232"/>
        <v>0</v>
      </c>
      <c r="I132" s="36">
        <f t="shared" si="233"/>
        <v>74.23</v>
      </c>
      <c r="J132" s="17"/>
      <c r="K132" s="16">
        <f t="shared" si="234"/>
        <v>0</v>
      </c>
      <c r="L132" s="17"/>
      <c r="M132" s="16">
        <f t="shared" si="235"/>
        <v>0</v>
      </c>
      <c r="N132" s="36">
        <f t="shared" si="236"/>
        <v>0</v>
      </c>
      <c r="O132" s="17"/>
      <c r="P132" s="16">
        <f t="shared" si="237"/>
        <v>0</v>
      </c>
      <c r="Q132" s="17"/>
      <c r="R132" s="16">
        <f t="shared" si="238"/>
        <v>0</v>
      </c>
      <c r="S132" s="36">
        <f t="shared" si="239"/>
        <v>0</v>
      </c>
      <c r="T132" s="17">
        <f t="shared" si="241"/>
        <v>1</v>
      </c>
      <c r="U132" s="39">
        <f t="shared" si="240"/>
        <v>74.23</v>
      </c>
    </row>
    <row r="133" spans="2:21" s="18" customFormat="1" x14ac:dyDescent="0.25">
      <c r="B133" s="16" t="s">
        <v>15</v>
      </c>
      <c r="C133" s="17">
        <v>1000</v>
      </c>
      <c r="D133" s="16">
        <v>74.22</v>
      </c>
      <c r="E133" s="17">
        <v>1</v>
      </c>
      <c r="F133" s="16">
        <f t="shared" ref="F130:F134" si="242">E133*D133</f>
        <v>74.22</v>
      </c>
      <c r="G133" s="17"/>
      <c r="H133" s="16">
        <f t="shared" ref="H130:H136" si="243">G133*D133</f>
        <v>0</v>
      </c>
      <c r="I133" s="36">
        <f t="shared" ref="I130:I136" si="244">(G133+E133)*D133</f>
        <v>74.22</v>
      </c>
      <c r="J133" s="17">
        <v>2</v>
      </c>
      <c r="K133" s="16">
        <f t="shared" ref="K130:K136" si="245">J133*D133</f>
        <v>148.44</v>
      </c>
      <c r="L133" s="17"/>
      <c r="M133" s="16">
        <f t="shared" ref="M130:M136" si="246">L133*D133</f>
        <v>0</v>
      </c>
      <c r="N133" s="36">
        <f t="shared" ref="N130:N136" si="247">(L133+J133)*D133</f>
        <v>148.44</v>
      </c>
      <c r="O133" s="17"/>
      <c r="P133" s="16">
        <f t="shared" ref="P130:P136" si="248">O133*D133</f>
        <v>0</v>
      </c>
      <c r="Q133" s="17"/>
      <c r="R133" s="16">
        <f t="shared" ref="R130:R136" si="249">Q133*D133</f>
        <v>0</v>
      </c>
      <c r="S133" s="36">
        <f t="shared" ref="S130:S136" si="250">(Q133+O133)*D133</f>
        <v>0</v>
      </c>
      <c r="T133" s="17">
        <f t="shared" ref="T133:T136" si="251">G133+E133+J133+L133+O133+Q133</f>
        <v>3</v>
      </c>
      <c r="U133" s="39">
        <f t="shared" ref="U130:U136" si="252">S133+N133+I133</f>
        <v>222.66</v>
      </c>
    </row>
    <row r="134" spans="2:21" s="18" customFormat="1" x14ac:dyDescent="0.25">
      <c r="B134" s="16" t="s">
        <v>17</v>
      </c>
      <c r="C134" s="17">
        <v>500</v>
      </c>
      <c r="D134" s="16">
        <v>33.5</v>
      </c>
      <c r="E134" s="17">
        <v>11</v>
      </c>
      <c r="F134" s="16">
        <f t="shared" si="242"/>
        <v>368.5</v>
      </c>
      <c r="G134" s="17"/>
      <c r="H134" s="16">
        <f t="shared" si="243"/>
        <v>0</v>
      </c>
      <c r="I134" s="36">
        <f t="shared" si="244"/>
        <v>368.5</v>
      </c>
      <c r="J134" s="17">
        <v>30</v>
      </c>
      <c r="K134" s="16">
        <f t="shared" si="245"/>
        <v>1005</v>
      </c>
      <c r="L134" s="17"/>
      <c r="M134" s="16">
        <f t="shared" si="246"/>
        <v>0</v>
      </c>
      <c r="N134" s="36">
        <f t="shared" si="247"/>
        <v>1005</v>
      </c>
      <c r="O134" s="17">
        <v>30</v>
      </c>
      <c r="P134" s="16">
        <f t="shared" si="248"/>
        <v>1005</v>
      </c>
      <c r="Q134" s="17"/>
      <c r="R134" s="16">
        <f t="shared" si="249"/>
        <v>0</v>
      </c>
      <c r="S134" s="36">
        <f t="shared" si="250"/>
        <v>1005</v>
      </c>
      <c r="T134" s="17">
        <f t="shared" si="251"/>
        <v>71</v>
      </c>
      <c r="U134" s="39">
        <f t="shared" si="252"/>
        <v>2378.5</v>
      </c>
    </row>
    <row r="135" spans="2:21" s="18" customFormat="1" x14ac:dyDescent="0.25">
      <c r="B135" s="16" t="s">
        <v>18</v>
      </c>
      <c r="C135" s="17">
        <v>500</v>
      </c>
      <c r="D135" s="16">
        <v>49</v>
      </c>
      <c r="E135" s="17">
        <v>2</v>
      </c>
      <c r="F135" s="16">
        <f>E135*D135</f>
        <v>98</v>
      </c>
      <c r="G135" s="17"/>
      <c r="H135" s="16">
        <f t="shared" si="243"/>
        <v>0</v>
      </c>
      <c r="I135" s="36">
        <f t="shared" si="244"/>
        <v>98</v>
      </c>
      <c r="J135" s="17"/>
      <c r="K135" s="16">
        <f t="shared" si="245"/>
        <v>0</v>
      </c>
      <c r="L135" s="17"/>
      <c r="M135" s="16">
        <f t="shared" si="246"/>
        <v>0</v>
      </c>
      <c r="N135" s="36">
        <f t="shared" si="247"/>
        <v>0</v>
      </c>
      <c r="O135" s="17">
        <v>7</v>
      </c>
      <c r="P135" s="16">
        <f t="shared" si="248"/>
        <v>343</v>
      </c>
      <c r="Q135" s="17"/>
      <c r="R135" s="16">
        <f t="shared" si="249"/>
        <v>0</v>
      </c>
      <c r="S135" s="36">
        <f t="shared" si="250"/>
        <v>343</v>
      </c>
      <c r="T135" s="17">
        <f t="shared" si="251"/>
        <v>9</v>
      </c>
      <c r="U135" s="39">
        <f t="shared" si="252"/>
        <v>441</v>
      </c>
    </row>
    <row r="136" spans="2:21" s="18" customFormat="1" x14ac:dyDescent="0.25">
      <c r="B136" s="16" t="s">
        <v>19</v>
      </c>
      <c r="C136" s="17">
        <v>1</v>
      </c>
      <c r="D136" s="16">
        <v>494.8</v>
      </c>
      <c r="E136" s="17"/>
      <c r="F136" s="16">
        <f t="shared" ref="F136" si="253">E136*D136</f>
        <v>0</v>
      </c>
      <c r="G136" s="17"/>
      <c r="H136" s="16">
        <f t="shared" si="243"/>
        <v>0</v>
      </c>
      <c r="I136" s="36">
        <f t="shared" si="244"/>
        <v>0</v>
      </c>
      <c r="J136" s="17"/>
      <c r="K136" s="16">
        <f t="shared" si="245"/>
        <v>0</v>
      </c>
      <c r="L136" s="17"/>
      <c r="M136" s="16">
        <f t="shared" si="246"/>
        <v>0</v>
      </c>
      <c r="N136" s="36">
        <f t="shared" si="247"/>
        <v>0</v>
      </c>
      <c r="O136" s="17"/>
      <c r="P136" s="16">
        <f t="shared" si="248"/>
        <v>0</v>
      </c>
      <c r="Q136" s="17"/>
      <c r="R136" s="16">
        <f t="shared" si="249"/>
        <v>0</v>
      </c>
      <c r="S136" s="36">
        <f t="shared" si="250"/>
        <v>0</v>
      </c>
      <c r="T136" s="17">
        <f t="shared" si="251"/>
        <v>0</v>
      </c>
      <c r="U136" s="39">
        <f t="shared" si="252"/>
        <v>0</v>
      </c>
    </row>
    <row r="137" spans="2:21" s="18" customFormat="1" x14ac:dyDescent="0.25">
      <c r="B137" s="16" t="s">
        <v>20</v>
      </c>
      <c r="C137" s="17">
        <v>500</v>
      </c>
      <c r="D137" s="16">
        <v>72.2</v>
      </c>
      <c r="E137" s="17"/>
      <c r="F137" s="16">
        <f t="shared" ref="F137:F138" si="254">E137*D137</f>
        <v>0</v>
      </c>
      <c r="G137" s="17"/>
      <c r="H137" s="16">
        <f t="shared" ref="H137:H138" si="255">G137*D137</f>
        <v>0</v>
      </c>
      <c r="I137" s="36">
        <f t="shared" ref="I137:I138" si="256">(G137+E137)*D137</f>
        <v>0</v>
      </c>
      <c r="J137" s="17">
        <v>30</v>
      </c>
      <c r="K137" s="16">
        <f t="shared" ref="K137:K138" si="257">J137*D137</f>
        <v>2166</v>
      </c>
      <c r="L137" s="17"/>
      <c r="M137" s="16">
        <f t="shared" ref="M137:M138" si="258">L137*D137</f>
        <v>0</v>
      </c>
      <c r="N137" s="36">
        <f t="shared" ref="N137:N138" si="259">(L137+J137)*D137</f>
        <v>2166</v>
      </c>
      <c r="O137" s="17">
        <v>30</v>
      </c>
      <c r="P137" s="16">
        <f t="shared" ref="P137:P138" si="260">O137*D137</f>
        <v>2166</v>
      </c>
      <c r="Q137" s="17"/>
      <c r="R137" s="16">
        <f t="shared" ref="R137:R138" si="261">Q137*D137</f>
        <v>0</v>
      </c>
      <c r="S137" s="36">
        <f t="shared" ref="S137:S138" si="262">(Q137+O137)*D137</f>
        <v>2166</v>
      </c>
      <c r="T137" s="17">
        <f t="shared" ref="T137:T138" si="263">G137+E137+J137+L137+O137+Q137</f>
        <v>60</v>
      </c>
      <c r="U137" s="39">
        <f t="shared" ref="U137:U138" si="264">S137+N137+I137</f>
        <v>4332</v>
      </c>
    </row>
    <row r="138" spans="2:21" s="18" customFormat="1" x14ac:dyDescent="0.25">
      <c r="B138" s="16" t="s">
        <v>61</v>
      </c>
      <c r="C138" s="17">
        <v>1000</v>
      </c>
      <c r="D138" s="16">
        <v>180</v>
      </c>
      <c r="E138" s="17">
        <v>1</v>
      </c>
      <c r="F138" s="16">
        <f t="shared" si="254"/>
        <v>180</v>
      </c>
      <c r="G138" s="17"/>
      <c r="H138" s="16">
        <f t="shared" si="255"/>
        <v>0</v>
      </c>
      <c r="I138" s="36">
        <f t="shared" si="256"/>
        <v>180</v>
      </c>
      <c r="J138" s="17"/>
      <c r="K138" s="16">
        <f t="shared" si="257"/>
        <v>0</v>
      </c>
      <c r="L138" s="17"/>
      <c r="M138" s="16">
        <f t="shared" si="258"/>
        <v>0</v>
      </c>
      <c r="N138" s="36">
        <f t="shared" si="259"/>
        <v>0</v>
      </c>
      <c r="O138" s="17"/>
      <c r="P138" s="16">
        <f t="shared" si="260"/>
        <v>0</v>
      </c>
      <c r="Q138" s="17"/>
      <c r="R138" s="16">
        <f t="shared" si="261"/>
        <v>0</v>
      </c>
      <c r="S138" s="36">
        <f t="shared" si="262"/>
        <v>0</v>
      </c>
      <c r="T138" s="17">
        <f t="shared" si="263"/>
        <v>1</v>
      </c>
      <c r="U138" s="39">
        <f t="shared" si="264"/>
        <v>180</v>
      </c>
    </row>
    <row r="139" spans="2:21" s="18" customFormat="1" x14ac:dyDescent="0.25">
      <c r="B139" s="16" t="s">
        <v>53</v>
      </c>
      <c r="C139" s="17">
        <v>1000</v>
      </c>
      <c r="D139" s="16">
        <v>78</v>
      </c>
      <c r="E139" s="17"/>
      <c r="F139" s="16">
        <f t="shared" ref="F139:F140" si="265">E139*D139</f>
        <v>0</v>
      </c>
      <c r="G139" s="17"/>
      <c r="H139" s="16">
        <f t="shared" ref="H139:H140" si="266">G139*D139</f>
        <v>0</v>
      </c>
      <c r="I139" s="36">
        <f t="shared" ref="I139:I140" si="267">(G139+E139)*D139</f>
        <v>0</v>
      </c>
      <c r="J139" s="17"/>
      <c r="K139" s="16">
        <f t="shared" ref="K139:K140" si="268">J139*D139</f>
        <v>0</v>
      </c>
      <c r="L139" s="17"/>
      <c r="M139" s="16">
        <f t="shared" ref="M139:M140" si="269">L139*D139</f>
        <v>0</v>
      </c>
      <c r="N139" s="36">
        <f t="shared" ref="N139:N140" si="270">(L139+J139)*D139</f>
        <v>0</v>
      </c>
      <c r="O139" s="17"/>
      <c r="P139" s="16">
        <f t="shared" ref="P139:P140" si="271">O139*D139</f>
        <v>0</v>
      </c>
      <c r="Q139" s="17"/>
      <c r="R139" s="16">
        <f t="shared" ref="R139:R140" si="272">Q139*D139</f>
        <v>0</v>
      </c>
      <c r="S139" s="36">
        <f t="shared" ref="S139:S140" si="273">(Q139+O139)*D139</f>
        <v>0</v>
      </c>
      <c r="T139" s="17">
        <f t="shared" ref="T139:T140" si="274">G139+E139+J139+L139+O139+Q139</f>
        <v>0</v>
      </c>
      <c r="U139" s="39">
        <f t="shared" ref="U139:U140" si="275">S139+N139+I139</f>
        <v>0</v>
      </c>
    </row>
    <row r="140" spans="2:21" s="18" customFormat="1" ht="14.4" thickBot="1" x14ac:dyDescent="0.3">
      <c r="B140" s="16" t="s">
        <v>56</v>
      </c>
      <c r="C140" s="17">
        <v>1000</v>
      </c>
      <c r="D140" s="16">
        <v>98</v>
      </c>
      <c r="E140" s="17"/>
      <c r="F140" s="16">
        <f t="shared" si="265"/>
        <v>0</v>
      </c>
      <c r="G140" s="17"/>
      <c r="H140" s="16">
        <f t="shared" si="266"/>
        <v>0</v>
      </c>
      <c r="I140" s="36">
        <f t="shared" si="267"/>
        <v>0</v>
      </c>
      <c r="J140" s="17"/>
      <c r="K140" s="16">
        <f t="shared" si="268"/>
        <v>0</v>
      </c>
      <c r="L140" s="17"/>
      <c r="M140" s="16">
        <f t="shared" si="269"/>
        <v>0</v>
      </c>
      <c r="N140" s="36">
        <f t="shared" si="270"/>
        <v>0</v>
      </c>
      <c r="O140" s="17"/>
      <c r="P140" s="16">
        <f t="shared" si="271"/>
        <v>0</v>
      </c>
      <c r="Q140" s="17"/>
      <c r="R140" s="16">
        <f t="shared" si="272"/>
        <v>0</v>
      </c>
      <c r="S140" s="36">
        <f t="shared" si="273"/>
        <v>0</v>
      </c>
      <c r="T140" s="17">
        <f t="shared" si="274"/>
        <v>0</v>
      </c>
      <c r="U140" s="39">
        <f t="shared" si="275"/>
        <v>0</v>
      </c>
    </row>
    <row r="141" spans="2:21" s="18" customFormat="1" ht="14.4" thickBot="1" x14ac:dyDescent="0.3">
      <c r="B141" s="19"/>
      <c r="C141" s="20"/>
      <c r="D141" s="21"/>
      <c r="E141" s="22"/>
      <c r="F141" s="23">
        <f>SUM(F130:F140)</f>
        <v>1017.62</v>
      </c>
      <c r="G141" s="22"/>
      <c r="H141" s="23">
        <f>SUM(H130:H140)</f>
        <v>0</v>
      </c>
      <c r="I141" s="26">
        <f>SUM(I130:I140)</f>
        <v>1017.62</v>
      </c>
      <c r="J141" s="22"/>
      <c r="K141" s="23">
        <f>SUM(K130:K140)</f>
        <v>3319.44</v>
      </c>
      <c r="L141" s="22"/>
      <c r="M141" s="23">
        <f>SUM(M130:M140)</f>
        <v>0</v>
      </c>
      <c r="N141" s="26">
        <f>SUM(N130:N140)</f>
        <v>3319.44</v>
      </c>
      <c r="O141" s="22"/>
      <c r="P141" s="23">
        <f>SUM(P130:P140)</f>
        <v>3514</v>
      </c>
      <c r="Q141" s="22"/>
      <c r="R141" s="23">
        <f>SUM(R130:R140)</f>
        <v>0</v>
      </c>
      <c r="S141" s="26">
        <f>SUM(S130:S140)</f>
        <v>3514</v>
      </c>
      <c r="T141" s="17"/>
      <c r="U141" s="25">
        <f>SUM(U130:U140)</f>
        <v>7851.0599999999995</v>
      </c>
    </row>
    <row r="142" spans="2:21" ht="17.399999999999999" x14ac:dyDescent="0.3">
      <c r="B142" s="10" t="s">
        <v>45</v>
      </c>
      <c r="C142" s="11"/>
      <c r="D142" s="12"/>
      <c r="E142" s="13">
        <v>2306</v>
      </c>
      <c r="F142" s="14">
        <v>45938</v>
      </c>
      <c r="G142" s="13">
        <v>2323</v>
      </c>
      <c r="H142" s="14">
        <v>45956</v>
      </c>
      <c r="I142" s="13"/>
      <c r="J142" s="13"/>
      <c r="K142" s="14"/>
      <c r="L142" s="13"/>
      <c r="M142" s="14"/>
      <c r="N142" s="15"/>
      <c r="O142" s="13">
        <v>2365</v>
      </c>
      <c r="P142" s="14">
        <v>45995</v>
      </c>
      <c r="Q142" s="13"/>
      <c r="R142" s="14"/>
      <c r="S142" s="15"/>
      <c r="T142" s="15"/>
      <c r="U142" s="15"/>
    </row>
    <row r="143" spans="2:21" s="18" customFormat="1" x14ac:dyDescent="0.25">
      <c r="B143" s="16" t="s">
        <v>29</v>
      </c>
      <c r="C143" s="17">
        <v>1000</v>
      </c>
      <c r="D143" s="16">
        <v>82.5</v>
      </c>
      <c r="E143" s="17"/>
      <c r="F143" s="16">
        <f t="shared" ref="F143:F145" si="276">E143*D143</f>
        <v>0</v>
      </c>
      <c r="G143" s="17"/>
      <c r="H143" s="16">
        <f t="shared" ref="H143:H154" si="277">G143*D143</f>
        <v>0</v>
      </c>
      <c r="I143" s="36">
        <f t="shared" ref="I143:I154" si="278">(G143+E143)*D143</f>
        <v>0</v>
      </c>
      <c r="J143" s="17"/>
      <c r="K143" s="16">
        <f t="shared" ref="K143:K154" si="279">J143*D143</f>
        <v>0</v>
      </c>
      <c r="L143" s="17"/>
      <c r="M143" s="16">
        <f t="shared" ref="M143:M154" si="280">L143*D143</f>
        <v>0</v>
      </c>
      <c r="N143" s="36">
        <f t="shared" ref="N143:N154" si="281">(L143+J143)*D143</f>
        <v>0</v>
      </c>
      <c r="O143" s="17"/>
      <c r="P143" s="16">
        <f t="shared" ref="P143:P154" si="282">O143*D143</f>
        <v>0</v>
      </c>
      <c r="Q143" s="17"/>
      <c r="R143" s="16">
        <f t="shared" ref="R143:R154" si="283">Q143*D143</f>
        <v>0</v>
      </c>
      <c r="S143" s="36">
        <f t="shared" ref="S143:S154" si="284">(Q143+O143)*D143</f>
        <v>0</v>
      </c>
      <c r="T143" s="17">
        <f>G143+E143+J143+L143+O143+Q143</f>
        <v>0</v>
      </c>
      <c r="U143" s="39">
        <f t="shared" ref="U143:U154" si="285">S143+N143+I143</f>
        <v>0</v>
      </c>
    </row>
    <row r="144" spans="2:21" s="18" customFormat="1" x14ac:dyDescent="0.25">
      <c r="B144" s="16" t="s">
        <v>30</v>
      </c>
      <c r="C144" s="17">
        <v>1000</v>
      </c>
      <c r="D144" s="16">
        <v>97.9</v>
      </c>
      <c r="E144" s="17"/>
      <c r="F144" s="16">
        <f t="shared" si="276"/>
        <v>0</v>
      </c>
      <c r="G144" s="17"/>
      <c r="H144" s="16">
        <f t="shared" si="277"/>
        <v>0</v>
      </c>
      <c r="I144" s="36">
        <f t="shared" si="278"/>
        <v>0</v>
      </c>
      <c r="J144" s="17"/>
      <c r="K144" s="16">
        <f t="shared" si="279"/>
        <v>0</v>
      </c>
      <c r="L144" s="17"/>
      <c r="M144" s="16">
        <f t="shared" si="280"/>
        <v>0</v>
      </c>
      <c r="N144" s="36">
        <f t="shared" si="281"/>
        <v>0</v>
      </c>
      <c r="O144" s="17"/>
      <c r="P144" s="16">
        <f t="shared" si="282"/>
        <v>0</v>
      </c>
      <c r="Q144" s="17"/>
      <c r="R144" s="16">
        <f t="shared" si="283"/>
        <v>0</v>
      </c>
      <c r="S144" s="36">
        <f t="shared" si="284"/>
        <v>0</v>
      </c>
      <c r="T144" s="17">
        <f t="shared" ref="T144:T154" si="286">G144+E144+J144+L144+O144+Q144</f>
        <v>0</v>
      </c>
      <c r="U144" s="39">
        <f t="shared" si="285"/>
        <v>0</v>
      </c>
    </row>
    <row r="145" spans="2:21" s="18" customFormat="1" x14ac:dyDescent="0.25">
      <c r="B145" s="16" t="s">
        <v>17</v>
      </c>
      <c r="C145" s="17">
        <v>500</v>
      </c>
      <c r="D145" s="16">
        <v>33.5</v>
      </c>
      <c r="E145" s="17">
        <v>15</v>
      </c>
      <c r="F145" s="16">
        <f t="shared" si="276"/>
        <v>502.5</v>
      </c>
      <c r="G145" s="17">
        <v>10</v>
      </c>
      <c r="H145" s="16">
        <f t="shared" si="277"/>
        <v>335</v>
      </c>
      <c r="I145" s="36">
        <f t="shared" si="278"/>
        <v>837.5</v>
      </c>
      <c r="J145" s="17"/>
      <c r="K145" s="16">
        <f t="shared" si="279"/>
        <v>0</v>
      </c>
      <c r="L145" s="17"/>
      <c r="M145" s="16">
        <f t="shared" si="280"/>
        <v>0</v>
      </c>
      <c r="N145" s="36">
        <f t="shared" si="281"/>
        <v>0</v>
      </c>
      <c r="O145" s="17">
        <v>10</v>
      </c>
      <c r="P145" s="16">
        <f t="shared" si="282"/>
        <v>335</v>
      </c>
      <c r="Q145" s="17"/>
      <c r="R145" s="16">
        <f t="shared" si="283"/>
        <v>0</v>
      </c>
      <c r="S145" s="36">
        <f t="shared" si="284"/>
        <v>335</v>
      </c>
      <c r="T145" s="17">
        <f t="shared" si="286"/>
        <v>35</v>
      </c>
      <c r="U145" s="39">
        <f t="shared" si="285"/>
        <v>1172.5</v>
      </c>
    </row>
    <row r="146" spans="2:21" s="18" customFormat="1" x14ac:dyDescent="0.25">
      <c r="B146" s="16" t="s">
        <v>18</v>
      </c>
      <c r="C146" s="17">
        <v>500</v>
      </c>
      <c r="D146" s="16">
        <v>49</v>
      </c>
      <c r="E146" s="17"/>
      <c r="F146" s="16">
        <f>E146*D146</f>
        <v>0</v>
      </c>
      <c r="G146" s="17">
        <v>1</v>
      </c>
      <c r="H146" s="16">
        <f t="shared" si="277"/>
        <v>49</v>
      </c>
      <c r="I146" s="36">
        <f t="shared" si="278"/>
        <v>49</v>
      </c>
      <c r="J146" s="17"/>
      <c r="K146" s="16">
        <f t="shared" si="279"/>
        <v>0</v>
      </c>
      <c r="L146" s="17"/>
      <c r="M146" s="16">
        <f t="shared" si="280"/>
        <v>0</v>
      </c>
      <c r="N146" s="36">
        <f t="shared" si="281"/>
        <v>0</v>
      </c>
      <c r="O146" s="17">
        <v>3</v>
      </c>
      <c r="P146" s="16">
        <f t="shared" si="282"/>
        <v>147</v>
      </c>
      <c r="Q146" s="17"/>
      <c r="R146" s="16">
        <f t="shared" si="283"/>
        <v>0</v>
      </c>
      <c r="S146" s="36">
        <f t="shared" si="284"/>
        <v>147</v>
      </c>
      <c r="T146" s="17">
        <f t="shared" si="286"/>
        <v>4</v>
      </c>
      <c r="U146" s="39">
        <f t="shared" si="285"/>
        <v>196</v>
      </c>
    </row>
    <row r="147" spans="2:21" s="18" customFormat="1" x14ac:dyDescent="0.25">
      <c r="B147" s="16" t="s">
        <v>54</v>
      </c>
      <c r="C147" s="17">
        <v>1</v>
      </c>
      <c r="D147" s="16">
        <v>494.8</v>
      </c>
      <c r="E147" s="17"/>
      <c r="F147" s="16">
        <f t="shared" ref="F147:F152" si="287">E147*D147</f>
        <v>0</v>
      </c>
      <c r="G147" s="17"/>
      <c r="H147" s="16">
        <f t="shared" si="277"/>
        <v>0</v>
      </c>
      <c r="I147" s="36">
        <f t="shared" si="278"/>
        <v>0</v>
      </c>
      <c r="J147" s="17"/>
      <c r="K147" s="16">
        <f t="shared" si="279"/>
        <v>0</v>
      </c>
      <c r="L147" s="17"/>
      <c r="M147" s="16">
        <f t="shared" si="280"/>
        <v>0</v>
      </c>
      <c r="N147" s="36">
        <f t="shared" si="281"/>
        <v>0</v>
      </c>
      <c r="O147" s="17"/>
      <c r="P147" s="16">
        <f t="shared" si="282"/>
        <v>0</v>
      </c>
      <c r="Q147" s="17"/>
      <c r="R147" s="16">
        <f t="shared" si="283"/>
        <v>0</v>
      </c>
      <c r="S147" s="36">
        <f t="shared" si="284"/>
        <v>0</v>
      </c>
      <c r="T147" s="17">
        <f t="shared" si="286"/>
        <v>0</v>
      </c>
      <c r="U147" s="39">
        <f t="shared" si="285"/>
        <v>0</v>
      </c>
    </row>
    <row r="148" spans="2:21" s="18" customFormat="1" x14ac:dyDescent="0.25">
      <c r="B148" s="16" t="s">
        <v>20</v>
      </c>
      <c r="C148" s="17">
        <v>500</v>
      </c>
      <c r="D148" s="16">
        <v>72.2</v>
      </c>
      <c r="E148" s="17">
        <v>10</v>
      </c>
      <c r="F148" s="16">
        <f t="shared" si="287"/>
        <v>722</v>
      </c>
      <c r="G148" s="17">
        <v>10</v>
      </c>
      <c r="H148" s="16">
        <f t="shared" si="277"/>
        <v>722</v>
      </c>
      <c r="I148" s="36">
        <f t="shared" si="278"/>
        <v>1444</v>
      </c>
      <c r="J148" s="17"/>
      <c r="K148" s="16">
        <f t="shared" si="279"/>
        <v>0</v>
      </c>
      <c r="L148" s="17"/>
      <c r="M148" s="16">
        <f t="shared" si="280"/>
        <v>0</v>
      </c>
      <c r="N148" s="36">
        <f t="shared" si="281"/>
        <v>0</v>
      </c>
      <c r="O148" s="17">
        <v>5</v>
      </c>
      <c r="P148" s="16">
        <f t="shared" si="282"/>
        <v>361</v>
      </c>
      <c r="Q148" s="17"/>
      <c r="R148" s="16">
        <f t="shared" si="283"/>
        <v>0</v>
      </c>
      <c r="S148" s="36">
        <f t="shared" si="284"/>
        <v>361</v>
      </c>
      <c r="T148" s="17">
        <f t="shared" si="286"/>
        <v>25</v>
      </c>
      <c r="U148" s="39">
        <f t="shared" si="285"/>
        <v>1805</v>
      </c>
    </row>
    <row r="149" spans="2:21" s="18" customFormat="1" x14ac:dyDescent="0.25">
      <c r="B149" s="16" t="s">
        <v>44</v>
      </c>
      <c r="C149" s="17">
        <v>1000</v>
      </c>
      <c r="D149" s="16">
        <v>180</v>
      </c>
      <c r="E149" s="17"/>
      <c r="F149" s="16">
        <f t="shared" si="287"/>
        <v>0</v>
      </c>
      <c r="G149" s="17"/>
      <c r="H149" s="16">
        <f t="shared" si="277"/>
        <v>0</v>
      </c>
      <c r="I149" s="36">
        <f t="shared" si="278"/>
        <v>0</v>
      </c>
      <c r="J149" s="17"/>
      <c r="K149" s="16">
        <f t="shared" si="279"/>
        <v>0</v>
      </c>
      <c r="L149" s="17"/>
      <c r="M149" s="16">
        <f t="shared" si="280"/>
        <v>0</v>
      </c>
      <c r="N149" s="36">
        <f t="shared" si="281"/>
        <v>0</v>
      </c>
      <c r="O149" s="17"/>
      <c r="P149" s="16">
        <f t="shared" si="282"/>
        <v>0</v>
      </c>
      <c r="Q149" s="17"/>
      <c r="R149" s="16">
        <f t="shared" si="283"/>
        <v>0</v>
      </c>
      <c r="S149" s="36">
        <f t="shared" si="284"/>
        <v>0</v>
      </c>
      <c r="T149" s="17">
        <f t="shared" si="286"/>
        <v>0</v>
      </c>
      <c r="U149" s="39">
        <f t="shared" si="285"/>
        <v>0</v>
      </c>
    </row>
    <row r="150" spans="2:21" s="18" customFormat="1" x14ac:dyDescent="0.25">
      <c r="B150" s="41" t="s">
        <v>47</v>
      </c>
      <c r="C150" s="17">
        <v>1000</v>
      </c>
      <c r="D150" s="16">
        <v>74.22</v>
      </c>
      <c r="E150" s="17"/>
      <c r="F150" s="16">
        <f t="shared" si="287"/>
        <v>0</v>
      </c>
      <c r="G150" s="17"/>
      <c r="H150" s="16">
        <f t="shared" si="277"/>
        <v>0</v>
      </c>
      <c r="I150" s="36">
        <f t="shared" si="278"/>
        <v>0</v>
      </c>
      <c r="J150" s="17"/>
      <c r="K150" s="16">
        <f t="shared" si="279"/>
        <v>0</v>
      </c>
      <c r="L150" s="17"/>
      <c r="M150" s="16">
        <f t="shared" si="280"/>
        <v>0</v>
      </c>
      <c r="N150" s="36">
        <f t="shared" si="281"/>
        <v>0</v>
      </c>
      <c r="O150" s="17"/>
      <c r="P150" s="16">
        <f t="shared" si="282"/>
        <v>0</v>
      </c>
      <c r="Q150" s="17"/>
      <c r="R150" s="16">
        <f t="shared" si="283"/>
        <v>0</v>
      </c>
      <c r="S150" s="36">
        <f t="shared" si="284"/>
        <v>0</v>
      </c>
      <c r="T150" s="17">
        <f t="shared" si="286"/>
        <v>0</v>
      </c>
      <c r="U150" s="39">
        <f t="shared" si="285"/>
        <v>0</v>
      </c>
    </row>
    <row r="151" spans="2:21" s="18" customFormat="1" x14ac:dyDescent="0.25">
      <c r="B151" s="41" t="s">
        <v>46</v>
      </c>
      <c r="C151" s="17">
        <v>1000</v>
      </c>
      <c r="D151" s="16">
        <v>74.22</v>
      </c>
      <c r="E151" s="17"/>
      <c r="F151" s="16">
        <f t="shared" si="287"/>
        <v>0</v>
      </c>
      <c r="G151" s="17">
        <v>1</v>
      </c>
      <c r="H151" s="16">
        <f t="shared" si="277"/>
        <v>74.22</v>
      </c>
      <c r="I151" s="36">
        <f t="shared" si="278"/>
        <v>74.22</v>
      </c>
      <c r="J151" s="17"/>
      <c r="K151" s="16">
        <f t="shared" si="279"/>
        <v>0</v>
      </c>
      <c r="L151" s="17"/>
      <c r="M151" s="16">
        <f t="shared" si="280"/>
        <v>0</v>
      </c>
      <c r="N151" s="36">
        <f t="shared" si="281"/>
        <v>0</v>
      </c>
      <c r="O151" s="17">
        <v>1</v>
      </c>
      <c r="P151" s="16">
        <f t="shared" si="282"/>
        <v>74.22</v>
      </c>
      <c r="Q151" s="17"/>
      <c r="R151" s="16">
        <f t="shared" si="283"/>
        <v>0</v>
      </c>
      <c r="S151" s="36">
        <f t="shared" si="284"/>
        <v>74.22</v>
      </c>
      <c r="T151" s="17">
        <f t="shared" si="286"/>
        <v>2</v>
      </c>
      <c r="U151" s="39">
        <f t="shared" si="285"/>
        <v>148.44</v>
      </c>
    </row>
    <row r="152" spans="2:21" s="18" customFormat="1" x14ac:dyDescent="0.25">
      <c r="B152" s="41" t="s">
        <v>48</v>
      </c>
      <c r="C152" s="17">
        <v>500</v>
      </c>
      <c r="D152" s="16">
        <v>33.5</v>
      </c>
      <c r="E152" s="17"/>
      <c r="F152" s="16">
        <f t="shared" si="287"/>
        <v>0</v>
      </c>
      <c r="G152" s="17">
        <v>8</v>
      </c>
      <c r="H152" s="16">
        <f t="shared" si="277"/>
        <v>268</v>
      </c>
      <c r="I152" s="36">
        <f t="shared" si="278"/>
        <v>268</v>
      </c>
      <c r="J152" s="17"/>
      <c r="K152" s="16">
        <f t="shared" si="279"/>
        <v>0</v>
      </c>
      <c r="L152" s="17"/>
      <c r="M152" s="16">
        <f t="shared" si="280"/>
        <v>0</v>
      </c>
      <c r="N152" s="36">
        <f t="shared" si="281"/>
        <v>0</v>
      </c>
      <c r="O152" s="17">
        <v>4</v>
      </c>
      <c r="P152" s="16">
        <f t="shared" si="282"/>
        <v>134</v>
      </c>
      <c r="Q152" s="17"/>
      <c r="R152" s="16">
        <f t="shared" si="283"/>
        <v>0</v>
      </c>
      <c r="S152" s="36">
        <f t="shared" si="284"/>
        <v>134</v>
      </c>
      <c r="T152" s="17">
        <f t="shared" si="286"/>
        <v>12</v>
      </c>
      <c r="U152" s="39">
        <f t="shared" si="285"/>
        <v>402</v>
      </c>
    </row>
    <row r="153" spans="2:21" s="18" customFormat="1" x14ac:dyDescent="0.25">
      <c r="B153" s="41" t="s">
        <v>49</v>
      </c>
      <c r="C153" s="17">
        <v>1000</v>
      </c>
      <c r="D153" s="16">
        <v>162</v>
      </c>
      <c r="E153" s="17"/>
      <c r="F153" s="16">
        <f>E153*D153</f>
        <v>0</v>
      </c>
      <c r="G153" s="17"/>
      <c r="H153" s="16">
        <f t="shared" si="277"/>
        <v>0</v>
      </c>
      <c r="I153" s="36">
        <f t="shared" si="278"/>
        <v>0</v>
      </c>
      <c r="J153" s="17"/>
      <c r="K153" s="16">
        <f t="shared" si="279"/>
        <v>0</v>
      </c>
      <c r="L153" s="17"/>
      <c r="M153" s="16">
        <f t="shared" si="280"/>
        <v>0</v>
      </c>
      <c r="N153" s="36">
        <f t="shared" si="281"/>
        <v>0</v>
      </c>
      <c r="O153" s="17">
        <v>3</v>
      </c>
      <c r="P153" s="16">
        <f t="shared" si="282"/>
        <v>486</v>
      </c>
      <c r="Q153" s="17"/>
      <c r="R153" s="16">
        <f t="shared" si="283"/>
        <v>0</v>
      </c>
      <c r="S153" s="36">
        <f t="shared" si="284"/>
        <v>486</v>
      </c>
      <c r="T153" s="17">
        <f t="shared" si="286"/>
        <v>3</v>
      </c>
      <c r="U153" s="39">
        <f t="shared" si="285"/>
        <v>486</v>
      </c>
    </row>
    <row r="154" spans="2:21" s="18" customFormat="1" ht="14.4" thickBot="1" x14ac:dyDescent="0.3">
      <c r="B154" s="41" t="s">
        <v>50</v>
      </c>
      <c r="C154" s="17">
        <v>1000</v>
      </c>
      <c r="D154" s="16">
        <v>192</v>
      </c>
      <c r="E154" s="17"/>
      <c r="F154" s="16">
        <f t="shared" ref="F154" si="288">E154*D154</f>
        <v>0</v>
      </c>
      <c r="G154" s="17"/>
      <c r="H154" s="16">
        <f t="shared" si="277"/>
        <v>0</v>
      </c>
      <c r="I154" s="36">
        <f t="shared" si="278"/>
        <v>0</v>
      </c>
      <c r="J154" s="17"/>
      <c r="K154" s="16">
        <f t="shared" si="279"/>
        <v>0</v>
      </c>
      <c r="L154" s="17"/>
      <c r="M154" s="16">
        <f t="shared" si="280"/>
        <v>0</v>
      </c>
      <c r="N154" s="36">
        <f t="shared" si="281"/>
        <v>0</v>
      </c>
      <c r="O154" s="17"/>
      <c r="P154" s="16">
        <f t="shared" si="282"/>
        <v>0</v>
      </c>
      <c r="Q154" s="17"/>
      <c r="R154" s="16">
        <f t="shared" si="283"/>
        <v>0</v>
      </c>
      <c r="S154" s="36">
        <f t="shared" si="284"/>
        <v>0</v>
      </c>
      <c r="T154" s="17">
        <f t="shared" si="286"/>
        <v>0</v>
      </c>
      <c r="U154" s="39">
        <f t="shared" si="285"/>
        <v>0</v>
      </c>
    </row>
    <row r="155" spans="2:21" s="18" customFormat="1" ht="14.4" thickBot="1" x14ac:dyDescent="0.3">
      <c r="B155" s="19"/>
      <c r="C155" s="20"/>
      <c r="D155" s="21"/>
      <c r="E155" s="22"/>
      <c r="F155" s="23">
        <f>SUM(F143:F154)</f>
        <v>1224.5</v>
      </c>
      <c r="G155" s="22"/>
      <c r="H155" s="23">
        <f>SUM(H143:H154)</f>
        <v>1448.22</v>
      </c>
      <c r="I155" s="26">
        <f>SUM(I143:I154)</f>
        <v>2672.72</v>
      </c>
      <c r="J155" s="22"/>
      <c r="K155" s="23">
        <f>SUM(K143:K154)</f>
        <v>0</v>
      </c>
      <c r="L155" s="22"/>
      <c r="M155" s="23">
        <f>SUM(M143:M154)</f>
        <v>0</v>
      </c>
      <c r="N155" s="26">
        <f>SUM(N143:N154)</f>
        <v>0</v>
      </c>
      <c r="O155" s="22"/>
      <c r="P155" s="23">
        <f>SUM(P143:P154)</f>
        <v>1537.22</v>
      </c>
      <c r="Q155" s="22"/>
      <c r="R155" s="23">
        <f>SUM(R143:R154)</f>
        <v>0</v>
      </c>
      <c r="S155" s="26">
        <f>SUM(S143:S154)</f>
        <v>1537.22</v>
      </c>
      <c r="T155" s="24"/>
      <c r="U155" s="25">
        <f>SUM(U143:U154)</f>
        <v>4209.9400000000005</v>
      </c>
    </row>
    <row r="156" spans="2:21" ht="17.399999999999999" x14ac:dyDescent="0.3">
      <c r="B156" s="10" t="s">
        <v>31</v>
      </c>
      <c r="C156" s="11"/>
      <c r="D156" s="12"/>
      <c r="E156" s="13">
        <v>2301</v>
      </c>
      <c r="F156" s="14">
        <v>45935</v>
      </c>
      <c r="G156" s="13"/>
      <c r="H156" s="14"/>
      <c r="I156" s="13"/>
      <c r="J156" s="13">
        <v>2327</v>
      </c>
      <c r="K156" s="14">
        <v>45965</v>
      </c>
      <c r="L156" s="13"/>
      <c r="M156" s="14"/>
      <c r="N156" s="15"/>
      <c r="O156" s="13"/>
      <c r="P156" s="14"/>
      <c r="Q156" s="13"/>
      <c r="R156" s="14"/>
      <c r="S156" s="15"/>
      <c r="T156" s="15"/>
      <c r="U156" s="15"/>
    </row>
    <row r="157" spans="2:21" s="18" customFormat="1" x14ac:dyDescent="0.25">
      <c r="B157" s="16" t="s">
        <v>29</v>
      </c>
      <c r="C157" s="17">
        <v>1000</v>
      </c>
      <c r="D157" s="16">
        <v>82.5</v>
      </c>
      <c r="E157" s="17"/>
      <c r="F157" s="16">
        <f t="shared" ref="F157:F160" si="289">E157*D157</f>
        <v>0</v>
      </c>
      <c r="G157" s="17"/>
      <c r="H157" s="16">
        <f t="shared" ref="H157:H163" si="290">G157*D157</f>
        <v>0</v>
      </c>
      <c r="I157" s="36">
        <f t="shared" ref="I157:I163" si="291">(G157+E157)*D157</f>
        <v>0</v>
      </c>
      <c r="J157" s="17"/>
      <c r="K157" s="16">
        <f t="shared" ref="K157:K163" si="292">J157*D157</f>
        <v>0</v>
      </c>
      <c r="L157" s="17"/>
      <c r="M157" s="16">
        <f t="shared" ref="M157:M163" si="293">L157*D157</f>
        <v>0</v>
      </c>
      <c r="N157" s="36">
        <f t="shared" ref="N157:N163" si="294">(L157+J157)*D157</f>
        <v>0</v>
      </c>
      <c r="O157" s="17"/>
      <c r="P157" s="16">
        <f t="shared" ref="P157:P163" si="295">O157*D157</f>
        <v>0</v>
      </c>
      <c r="Q157" s="17"/>
      <c r="R157" s="16">
        <f t="shared" ref="R157:R163" si="296">Q157*D157</f>
        <v>0</v>
      </c>
      <c r="S157" s="36">
        <f t="shared" ref="S157:S163" si="297">(Q157+O157)*D157</f>
        <v>0</v>
      </c>
      <c r="T157" s="17">
        <f t="shared" ref="T157:T163" si="298">G157+E157+J157+L157+O157+Q157</f>
        <v>0</v>
      </c>
      <c r="U157" s="39">
        <f t="shared" ref="U157:U163" si="299">S157+N157+I157</f>
        <v>0</v>
      </c>
    </row>
    <row r="158" spans="2:21" s="18" customFormat="1" x14ac:dyDescent="0.25">
      <c r="B158" s="16" t="s">
        <v>30</v>
      </c>
      <c r="C158" s="17">
        <v>1000</v>
      </c>
      <c r="D158" s="16">
        <v>97.33</v>
      </c>
      <c r="E158" s="17"/>
      <c r="F158" s="16">
        <f t="shared" si="289"/>
        <v>0</v>
      </c>
      <c r="G158" s="17"/>
      <c r="H158" s="16">
        <f t="shared" si="290"/>
        <v>0</v>
      </c>
      <c r="I158" s="36">
        <f t="shared" si="291"/>
        <v>0</v>
      </c>
      <c r="J158" s="17"/>
      <c r="K158" s="16">
        <f t="shared" si="292"/>
        <v>0</v>
      </c>
      <c r="L158" s="17"/>
      <c r="M158" s="16">
        <f t="shared" si="293"/>
        <v>0</v>
      </c>
      <c r="N158" s="36">
        <f t="shared" si="294"/>
        <v>0</v>
      </c>
      <c r="O158" s="17"/>
      <c r="P158" s="16">
        <f t="shared" si="295"/>
        <v>0</v>
      </c>
      <c r="Q158" s="17"/>
      <c r="R158" s="16">
        <f t="shared" si="296"/>
        <v>0</v>
      </c>
      <c r="S158" s="36">
        <f t="shared" si="297"/>
        <v>0</v>
      </c>
      <c r="T158" s="17">
        <f t="shared" si="298"/>
        <v>0</v>
      </c>
      <c r="U158" s="39">
        <f t="shared" si="299"/>
        <v>0</v>
      </c>
    </row>
    <row r="159" spans="2:21" s="18" customFormat="1" x14ac:dyDescent="0.25">
      <c r="B159" s="16" t="s">
        <v>17</v>
      </c>
      <c r="C159" s="17">
        <v>500</v>
      </c>
      <c r="D159" s="16">
        <v>33.5</v>
      </c>
      <c r="E159" s="17">
        <v>30</v>
      </c>
      <c r="F159" s="16">
        <f t="shared" si="289"/>
        <v>1005</v>
      </c>
      <c r="G159" s="17"/>
      <c r="H159" s="16">
        <f t="shared" si="290"/>
        <v>0</v>
      </c>
      <c r="I159" s="36">
        <f t="shared" si="291"/>
        <v>1005</v>
      </c>
      <c r="J159" s="17">
        <v>20</v>
      </c>
      <c r="K159" s="16">
        <f t="shared" si="292"/>
        <v>670</v>
      </c>
      <c r="L159" s="17"/>
      <c r="M159" s="16">
        <f t="shared" si="293"/>
        <v>0</v>
      </c>
      <c r="N159" s="36">
        <f t="shared" si="294"/>
        <v>670</v>
      </c>
      <c r="O159" s="17"/>
      <c r="P159" s="16">
        <f t="shared" si="295"/>
        <v>0</v>
      </c>
      <c r="Q159" s="17"/>
      <c r="R159" s="16">
        <f t="shared" si="296"/>
        <v>0</v>
      </c>
      <c r="S159" s="36">
        <f t="shared" si="297"/>
        <v>0</v>
      </c>
      <c r="T159" s="17">
        <f t="shared" si="298"/>
        <v>50</v>
      </c>
      <c r="U159" s="39">
        <f t="shared" si="299"/>
        <v>1675</v>
      </c>
    </row>
    <row r="160" spans="2:21" s="18" customFormat="1" x14ac:dyDescent="0.25">
      <c r="B160" s="16" t="s">
        <v>18</v>
      </c>
      <c r="C160" s="17">
        <v>500</v>
      </c>
      <c r="D160" s="16">
        <v>49</v>
      </c>
      <c r="E160" s="17"/>
      <c r="F160" s="16">
        <f t="shared" si="289"/>
        <v>0</v>
      </c>
      <c r="G160" s="17"/>
      <c r="H160" s="16">
        <f t="shared" si="290"/>
        <v>0</v>
      </c>
      <c r="I160" s="36">
        <f t="shared" si="291"/>
        <v>0</v>
      </c>
      <c r="J160" s="17"/>
      <c r="K160" s="16">
        <f t="shared" si="292"/>
        <v>0</v>
      </c>
      <c r="L160" s="17"/>
      <c r="M160" s="16">
        <f t="shared" si="293"/>
        <v>0</v>
      </c>
      <c r="N160" s="36">
        <f t="shared" si="294"/>
        <v>0</v>
      </c>
      <c r="O160" s="17"/>
      <c r="P160" s="16">
        <f t="shared" si="295"/>
        <v>0</v>
      </c>
      <c r="Q160" s="17"/>
      <c r="R160" s="16">
        <f t="shared" si="296"/>
        <v>0</v>
      </c>
      <c r="S160" s="36">
        <f t="shared" si="297"/>
        <v>0</v>
      </c>
      <c r="T160" s="17">
        <f t="shared" si="298"/>
        <v>0</v>
      </c>
      <c r="U160" s="39">
        <f t="shared" si="299"/>
        <v>0</v>
      </c>
    </row>
    <row r="161" spans="2:21" s="18" customFormat="1" x14ac:dyDescent="0.25">
      <c r="B161" s="16" t="s">
        <v>19</v>
      </c>
      <c r="C161" s="17">
        <v>1</v>
      </c>
      <c r="D161" s="16">
        <v>494.8</v>
      </c>
      <c r="E161" s="17"/>
      <c r="F161" s="16">
        <f>E161*D161</f>
        <v>0</v>
      </c>
      <c r="G161" s="17"/>
      <c r="H161" s="16">
        <f t="shared" si="290"/>
        <v>0</v>
      </c>
      <c r="I161" s="36">
        <f t="shared" si="291"/>
        <v>0</v>
      </c>
      <c r="J161" s="17"/>
      <c r="K161" s="16">
        <f t="shared" si="292"/>
        <v>0</v>
      </c>
      <c r="L161" s="17"/>
      <c r="M161" s="16">
        <f t="shared" si="293"/>
        <v>0</v>
      </c>
      <c r="N161" s="36">
        <f t="shared" si="294"/>
        <v>0</v>
      </c>
      <c r="O161" s="17"/>
      <c r="P161" s="16">
        <f t="shared" si="295"/>
        <v>0</v>
      </c>
      <c r="Q161" s="17"/>
      <c r="R161" s="16">
        <f t="shared" si="296"/>
        <v>0</v>
      </c>
      <c r="S161" s="36">
        <f t="shared" si="297"/>
        <v>0</v>
      </c>
      <c r="T161" s="17">
        <f t="shared" si="298"/>
        <v>0</v>
      </c>
      <c r="U161" s="39">
        <f t="shared" si="299"/>
        <v>0</v>
      </c>
    </row>
    <row r="162" spans="2:21" s="18" customFormat="1" x14ac:dyDescent="0.25">
      <c r="B162" s="16" t="s">
        <v>20</v>
      </c>
      <c r="C162" s="17">
        <v>500</v>
      </c>
      <c r="D162" s="16">
        <v>72.2</v>
      </c>
      <c r="E162" s="17">
        <v>10</v>
      </c>
      <c r="F162" s="16">
        <f t="shared" ref="F162:F163" si="300">E162*D162</f>
        <v>722</v>
      </c>
      <c r="G162" s="17"/>
      <c r="H162" s="16">
        <f t="shared" si="290"/>
        <v>0</v>
      </c>
      <c r="I162" s="36">
        <f t="shared" si="291"/>
        <v>722</v>
      </c>
      <c r="J162" s="17">
        <v>20</v>
      </c>
      <c r="K162" s="16">
        <f t="shared" si="292"/>
        <v>1444</v>
      </c>
      <c r="L162" s="17"/>
      <c r="M162" s="16">
        <f t="shared" si="293"/>
        <v>0</v>
      </c>
      <c r="N162" s="36">
        <f t="shared" si="294"/>
        <v>1444</v>
      </c>
      <c r="O162" s="17"/>
      <c r="P162" s="16">
        <f t="shared" si="295"/>
        <v>0</v>
      </c>
      <c r="Q162" s="17"/>
      <c r="R162" s="16">
        <f t="shared" si="296"/>
        <v>0</v>
      </c>
      <c r="S162" s="36">
        <f t="shared" si="297"/>
        <v>0</v>
      </c>
      <c r="T162" s="17">
        <f t="shared" si="298"/>
        <v>30</v>
      </c>
      <c r="U162" s="39">
        <f t="shared" si="299"/>
        <v>2166</v>
      </c>
    </row>
    <row r="163" spans="2:21" s="18" customFormat="1" ht="14.4" thickBot="1" x14ac:dyDescent="0.3">
      <c r="B163" s="16" t="s">
        <v>44</v>
      </c>
      <c r="C163" s="17">
        <v>1000</v>
      </c>
      <c r="D163" s="16">
        <v>180</v>
      </c>
      <c r="E163" s="17"/>
      <c r="F163" s="16">
        <f t="shared" si="300"/>
        <v>0</v>
      </c>
      <c r="G163" s="17"/>
      <c r="H163" s="16">
        <f t="shared" si="290"/>
        <v>0</v>
      </c>
      <c r="I163" s="36">
        <f t="shared" si="291"/>
        <v>0</v>
      </c>
      <c r="J163" s="17">
        <v>1</v>
      </c>
      <c r="K163" s="16">
        <f t="shared" si="292"/>
        <v>180</v>
      </c>
      <c r="L163" s="17"/>
      <c r="M163" s="16">
        <f t="shared" si="293"/>
        <v>0</v>
      </c>
      <c r="N163" s="36">
        <f t="shared" si="294"/>
        <v>180</v>
      </c>
      <c r="O163" s="17"/>
      <c r="P163" s="16">
        <f t="shared" si="295"/>
        <v>0</v>
      </c>
      <c r="Q163" s="17"/>
      <c r="R163" s="16">
        <f t="shared" si="296"/>
        <v>0</v>
      </c>
      <c r="S163" s="36">
        <f t="shared" si="297"/>
        <v>0</v>
      </c>
      <c r="T163" s="17">
        <f t="shared" si="298"/>
        <v>1</v>
      </c>
      <c r="U163" s="39">
        <f t="shared" si="299"/>
        <v>180</v>
      </c>
    </row>
    <row r="164" spans="2:21" s="18" customFormat="1" ht="14.4" thickBot="1" x14ac:dyDescent="0.3">
      <c r="B164" s="19"/>
      <c r="C164" s="20"/>
      <c r="D164" s="21"/>
      <c r="E164" s="22"/>
      <c r="F164" s="23">
        <f>SUM(F157:F163)</f>
        <v>1727</v>
      </c>
      <c r="G164" s="22"/>
      <c r="H164" s="23">
        <f>SUM(H157:H163)</f>
        <v>0</v>
      </c>
      <c r="I164" s="26">
        <f>SUM(I157:I163)</f>
        <v>1727</v>
      </c>
      <c r="J164" s="22"/>
      <c r="K164" s="23">
        <f>SUM(K157:K163)</f>
        <v>2294</v>
      </c>
      <c r="L164" s="22"/>
      <c r="M164" s="23">
        <f>SUM(M157:M163)</f>
        <v>0</v>
      </c>
      <c r="N164" s="26">
        <f>SUM(N157:N163)</f>
        <v>2294</v>
      </c>
      <c r="O164" s="22"/>
      <c r="P164" s="23">
        <f>SUM(P158:P163)</f>
        <v>0</v>
      </c>
      <c r="Q164" s="22"/>
      <c r="R164" s="23">
        <f>SUM(R157:R163)</f>
        <v>0</v>
      </c>
      <c r="S164" s="26">
        <f>SUM(S157:S163)</f>
        <v>0</v>
      </c>
      <c r="T164" s="24"/>
      <c r="U164" s="23">
        <f>SUM(U157:U163)</f>
        <v>4021</v>
      </c>
    </row>
    <row r="165" spans="2:21" ht="17.399999999999999" x14ac:dyDescent="0.3">
      <c r="B165" s="10" t="s">
        <v>32</v>
      </c>
      <c r="C165" s="11"/>
      <c r="D165" s="12"/>
      <c r="E165" s="13"/>
      <c r="F165" s="14"/>
      <c r="G165" s="13"/>
      <c r="H165" s="14"/>
      <c r="I165" s="13"/>
      <c r="J165" s="13">
        <v>2341</v>
      </c>
      <c r="K165" s="14">
        <v>45978</v>
      </c>
      <c r="L165" s="13"/>
      <c r="M165" s="14"/>
      <c r="N165" s="15"/>
      <c r="O165" s="13"/>
      <c r="P165" s="14"/>
      <c r="Q165" s="13"/>
      <c r="R165" s="14"/>
      <c r="S165" s="15"/>
      <c r="T165" s="15"/>
      <c r="U165" s="15"/>
    </row>
    <row r="166" spans="2:21" s="18" customFormat="1" x14ac:dyDescent="0.25">
      <c r="B166" s="16" t="s">
        <v>29</v>
      </c>
      <c r="C166" s="17">
        <v>1000</v>
      </c>
      <c r="D166" s="16">
        <v>82.5</v>
      </c>
      <c r="E166" s="17"/>
      <c r="F166" s="16">
        <f t="shared" ref="F166:F168" si="301">E166*D166</f>
        <v>0</v>
      </c>
      <c r="G166" s="17"/>
      <c r="H166" s="16">
        <f t="shared" ref="H166:H172" si="302">G166*D166</f>
        <v>0</v>
      </c>
      <c r="I166" s="36">
        <f t="shared" ref="I166:I172" si="303">(G166+E166)*D166</f>
        <v>0</v>
      </c>
      <c r="J166" s="17"/>
      <c r="K166" s="16">
        <f t="shared" ref="K166:K172" si="304">J166*D166</f>
        <v>0</v>
      </c>
      <c r="L166" s="17"/>
      <c r="M166" s="16">
        <f t="shared" ref="M166:M172" si="305">L166*D166</f>
        <v>0</v>
      </c>
      <c r="N166" s="36">
        <f t="shared" ref="N166:N172" si="306">(L166+J166)*D166</f>
        <v>0</v>
      </c>
      <c r="O166" s="17"/>
      <c r="P166" s="16">
        <f t="shared" ref="P166:P172" si="307">O166*D166</f>
        <v>0</v>
      </c>
      <c r="Q166" s="17"/>
      <c r="R166" s="16">
        <f t="shared" ref="R166:R172" si="308">Q166*D166</f>
        <v>0</v>
      </c>
      <c r="S166" s="36">
        <f t="shared" ref="S166:S172" si="309">(Q166+O166)*D166</f>
        <v>0</v>
      </c>
      <c r="T166" s="17">
        <f t="shared" ref="T166:T181" si="310">G166+E166+J166+L166+O166+Q166</f>
        <v>0</v>
      </c>
      <c r="U166" s="39">
        <f t="shared" ref="U166:U172" si="311">S166+N166+I166</f>
        <v>0</v>
      </c>
    </row>
    <row r="167" spans="2:21" s="18" customFormat="1" x14ac:dyDescent="0.25">
      <c r="B167" s="16" t="s">
        <v>30</v>
      </c>
      <c r="C167" s="17">
        <v>1000</v>
      </c>
      <c r="D167" s="16">
        <v>97.9</v>
      </c>
      <c r="E167" s="17"/>
      <c r="F167" s="16">
        <f t="shared" si="301"/>
        <v>0</v>
      </c>
      <c r="G167" s="17"/>
      <c r="H167" s="16">
        <f t="shared" si="302"/>
        <v>0</v>
      </c>
      <c r="I167" s="36">
        <f t="shared" si="303"/>
        <v>0</v>
      </c>
      <c r="J167" s="17">
        <v>2</v>
      </c>
      <c r="K167" s="16">
        <f t="shared" si="304"/>
        <v>195.8</v>
      </c>
      <c r="L167" s="17"/>
      <c r="M167" s="16">
        <f t="shared" si="305"/>
        <v>0</v>
      </c>
      <c r="N167" s="36">
        <f t="shared" si="306"/>
        <v>195.8</v>
      </c>
      <c r="O167" s="17"/>
      <c r="P167" s="16">
        <f t="shared" si="307"/>
        <v>0</v>
      </c>
      <c r="Q167" s="17"/>
      <c r="R167" s="16">
        <f t="shared" si="308"/>
        <v>0</v>
      </c>
      <c r="S167" s="36">
        <f t="shared" si="309"/>
        <v>0</v>
      </c>
      <c r="T167" s="17">
        <f t="shared" si="310"/>
        <v>2</v>
      </c>
      <c r="U167" s="39">
        <f t="shared" si="311"/>
        <v>195.8</v>
      </c>
    </row>
    <row r="168" spans="2:21" s="18" customFormat="1" x14ac:dyDescent="0.25">
      <c r="B168" s="16" t="s">
        <v>17</v>
      </c>
      <c r="C168" s="17">
        <v>500</v>
      </c>
      <c r="D168" s="16">
        <v>33.5</v>
      </c>
      <c r="E168" s="17"/>
      <c r="F168" s="16">
        <f t="shared" si="301"/>
        <v>0</v>
      </c>
      <c r="G168" s="17"/>
      <c r="H168" s="16">
        <f t="shared" si="302"/>
        <v>0</v>
      </c>
      <c r="I168" s="36">
        <f t="shared" si="303"/>
        <v>0</v>
      </c>
      <c r="J168" s="17">
        <v>25</v>
      </c>
      <c r="K168" s="16">
        <f t="shared" si="304"/>
        <v>837.5</v>
      </c>
      <c r="L168" s="17"/>
      <c r="M168" s="16">
        <f t="shared" si="305"/>
        <v>0</v>
      </c>
      <c r="N168" s="36">
        <f t="shared" si="306"/>
        <v>837.5</v>
      </c>
      <c r="O168" s="17"/>
      <c r="P168" s="16">
        <f t="shared" si="307"/>
        <v>0</v>
      </c>
      <c r="Q168" s="17"/>
      <c r="R168" s="16">
        <f t="shared" si="308"/>
        <v>0</v>
      </c>
      <c r="S168" s="36">
        <f t="shared" si="309"/>
        <v>0</v>
      </c>
      <c r="T168" s="17">
        <f t="shared" si="310"/>
        <v>25</v>
      </c>
      <c r="U168" s="39">
        <f t="shared" si="311"/>
        <v>837.5</v>
      </c>
    </row>
    <row r="169" spans="2:21" s="18" customFormat="1" x14ac:dyDescent="0.25">
      <c r="B169" s="16" t="s">
        <v>18</v>
      </c>
      <c r="C169" s="17">
        <v>500</v>
      </c>
      <c r="D169" s="16">
        <v>49</v>
      </c>
      <c r="E169" s="17"/>
      <c r="F169" s="16">
        <f>E169*D169</f>
        <v>0</v>
      </c>
      <c r="G169" s="17"/>
      <c r="H169" s="16">
        <f t="shared" si="302"/>
        <v>0</v>
      </c>
      <c r="I169" s="36">
        <f t="shared" si="303"/>
        <v>0</v>
      </c>
      <c r="J169" s="17"/>
      <c r="K169" s="16">
        <f t="shared" si="304"/>
        <v>0</v>
      </c>
      <c r="L169" s="17"/>
      <c r="M169" s="16">
        <f t="shared" si="305"/>
        <v>0</v>
      </c>
      <c r="N169" s="36">
        <f t="shared" si="306"/>
        <v>0</v>
      </c>
      <c r="O169" s="17"/>
      <c r="P169" s="16">
        <f t="shared" si="307"/>
        <v>0</v>
      </c>
      <c r="Q169" s="17"/>
      <c r="R169" s="16">
        <f t="shared" si="308"/>
        <v>0</v>
      </c>
      <c r="S169" s="36">
        <f t="shared" si="309"/>
        <v>0</v>
      </c>
      <c r="T169" s="17">
        <f t="shared" si="310"/>
        <v>0</v>
      </c>
      <c r="U169" s="39">
        <f t="shared" si="311"/>
        <v>0</v>
      </c>
    </row>
    <row r="170" spans="2:21" s="18" customFormat="1" x14ac:dyDescent="0.25">
      <c r="B170" s="16" t="s">
        <v>19</v>
      </c>
      <c r="C170" s="17">
        <v>1</v>
      </c>
      <c r="D170" s="16">
        <v>84.5</v>
      </c>
      <c r="E170" s="17"/>
      <c r="F170" s="16">
        <f t="shared" ref="F170:F172" si="312">E170*D170</f>
        <v>0</v>
      </c>
      <c r="G170" s="17"/>
      <c r="H170" s="16">
        <f t="shared" si="302"/>
        <v>0</v>
      </c>
      <c r="I170" s="36">
        <f t="shared" si="303"/>
        <v>0</v>
      </c>
      <c r="J170" s="17"/>
      <c r="K170" s="16">
        <f t="shared" si="304"/>
        <v>0</v>
      </c>
      <c r="L170" s="17"/>
      <c r="M170" s="16">
        <f t="shared" si="305"/>
        <v>0</v>
      </c>
      <c r="N170" s="36">
        <f t="shared" si="306"/>
        <v>0</v>
      </c>
      <c r="O170" s="17"/>
      <c r="P170" s="16">
        <f t="shared" si="307"/>
        <v>0</v>
      </c>
      <c r="Q170" s="17"/>
      <c r="R170" s="16">
        <f t="shared" si="308"/>
        <v>0</v>
      </c>
      <c r="S170" s="36">
        <f t="shared" si="309"/>
        <v>0</v>
      </c>
      <c r="T170" s="17">
        <f t="shared" si="310"/>
        <v>0</v>
      </c>
      <c r="U170" s="39">
        <f t="shared" si="311"/>
        <v>0</v>
      </c>
    </row>
    <row r="171" spans="2:21" s="18" customFormat="1" x14ac:dyDescent="0.25">
      <c r="B171" s="16" t="s">
        <v>20</v>
      </c>
      <c r="C171" s="17">
        <v>500</v>
      </c>
      <c r="D171" s="16">
        <v>72.2</v>
      </c>
      <c r="E171" s="17"/>
      <c r="F171" s="16">
        <f t="shared" si="312"/>
        <v>0</v>
      </c>
      <c r="G171" s="17"/>
      <c r="H171" s="16">
        <f t="shared" si="302"/>
        <v>0</v>
      </c>
      <c r="I171" s="36">
        <f t="shared" si="303"/>
        <v>0</v>
      </c>
      <c r="J171" s="17"/>
      <c r="K171" s="16">
        <f t="shared" si="304"/>
        <v>0</v>
      </c>
      <c r="L171" s="17"/>
      <c r="M171" s="16">
        <f t="shared" si="305"/>
        <v>0</v>
      </c>
      <c r="N171" s="36">
        <f t="shared" si="306"/>
        <v>0</v>
      </c>
      <c r="O171" s="17"/>
      <c r="P171" s="16">
        <f t="shared" si="307"/>
        <v>0</v>
      </c>
      <c r="Q171" s="17"/>
      <c r="R171" s="16">
        <f t="shared" si="308"/>
        <v>0</v>
      </c>
      <c r="S171" s="36">
        <f t="shared" si="309"/>
        <v>0</v>
      </c>
      <c r="T171" s="17">
        <f t="shared" si="310"/>
        <v>0</v>
      </c>
      <c r="U171" s="39">
        <f t="shared" si="311"/>
        <v>0</v>
      </c>
    </row>
    <row r="172" spans="2:21" s="18" customFormat="1" ht="14.4" thickBot="1" x14ac:dyDescent="0.3">
      <c r="B172" s="16" t="s">
        <v>44</v>
      </c>
      <c r="C172" s="17">
        <v>1000</v>
      </c>
      <c r="D172" s="16">
        <v>180</v>
      </c>
      <c r="E172" s="17"/>
      <c r="F172" s="16">
        <f t="shared" si="312"/>
        <v>0</v>
      </c>
      <c r="G172" s="17"/>
      <c r="H172" s="16">
        <f t="shared" si="302"/>
        <v>0</v>
      </c>
      <c r="I172" s="36">
        <f t="shared" si="303"/>
        <v>0</v>
      </c>
      <c r="J172" s="17"/>
      <c r="K172" s="16">
        <f t="shared" si="304"/>
        <v>0</v>
      </c>
      <c r="L172" s="17"/>
      <c r="M172" s="16">
        <f t="shared" si="305"/>
        <v>0</v>
      </c>
      <c r="N172" s="36">
        <f t="shared" si="306"/>
        <v>0</v>
      </c>
      <c r="O172" s="17"/>
      <c r="P172" s="16">
        <f t="shared" si="307"/>
        <v>0</v>
      </c>
      <c r="Q172" s="17"/>
      <c r="R172" s="16">
        <f t="shared" si="308"/>
        <v>0</v>
      </c>
      <c r="S172" s="36">
        <f t="shared" si="309"/>
        <v>0</v>
      </c>
      <c r="T172" s="17">
        <f t="shared" si="310"/>
        <v>0</v>
      </c>
      <c r="U172" s="39">
        <f t="shared" si="311"/>
        <v>0</v>
      </c>
    </row>
    <row r="173" spans="2:21" s="18" customFormat="1" ht="14.4" thickBot="1" x14ac:dyDescent="0.3">
      <c r="B173" s="19"/>
      <c r="C173" s="20"/>
      <c r="D173" s="21"/>
      <c r="E173" s="22"/>
      <c r="F173" s="23">
        <f>SUM(F166:F172)</f>
        <v>0</v>
      </c>
      <c r="G173" s="22"/>
      <c r="H173" s="23">
        <f>SUM(H166:H172)</f>
        <v>0</v>
      </c>
      <c r="I173" s="26">
        <f>SUM(I166:I172)</f>
        <v>0</v>
      </c>
      <c r="J173" s="22"/>
      <c r="K173" s="23">
        <f>SUM(K166:K172)</f>
        <v>1033.3</v>
      </c>
      <c r="L173" s="22"/>
      <c r="M173" s="23">
        <f>SUM(M166:M172)</f>
        <v>0</v>
      </c>
      <c r="N173" s="26">
        <f>SUM(N166:N172)</f>
        <v>1033.3</v>
      </c>
      <c r="O173" s="22"/>
      <c r="P173" s="23">
        <f>SUM(P166:P172)</f>
        <v>0</v>
      </c>
      <c r="Q173" s="22"/>
      <c r="R173" s="23">
        <f>SUM(R166:R172)</f>
        <v>0</v>
      </c>
      <c r="S173" s="26">
        <f>SUM(S166:S172)</f>
        <v>0</v>
      </c>
      <c r="T173" s="17"/>
      <c r="U173" s="25">
        <f>SUM(U166:U172)</f>
        <v>1033.3</v>
      </c>
    </row>
    <row r="174" spans="2:21" ht="17.399999999999999" x14ac:dyDescent="0.3">
      <c r="B174" s="10" t="s">
        <v>33</v>
      </c>
      <c r="C174" s="11"/>
      <c r="D174" s="12"/>
      <c r="E174" s="13"/>
      <c r="F174" s="14"/>
      <c r="G174" s="13"/>
      <c r="H174" s="14"/>
      <c r="I174" s="13"/>
      <c r="J174" s="13"/>
      <c r="K174" s="14"/>
      <c r="L174" s="13"/>
      <c r="M174" s="14"/>
      <c r="N174" s="15"/>
      <c r="O174" s="13">
        <v>2357</v>
      </c>
      <c r="P174" s="14">
        <v>45992</v>
      </c>
      <c r="Q174" s="13"/>
      <c r="R174" s="14"/>
      <c r="S174" s="15"/>
      <c r="T174" s="15"/>
      <c r="U174" s="15"/>
    </row>
    <row r="175" spans="2:21" s="18" customFormat="1" x14ac:dyDescent="0.25">
      <c r="B175" s="16" t="s">
        <v>29</v>
      </c>
      <c r="C175" s="17">
        <v>1000</v>
      </c>
      <c r="D175" s="16">
        <v>82.5</v>
      </c>
      <c r="E175" s="17"/>
      <c r="F175" s="16">
        <f t="shared" ref="F175:F177" si="313">E175*D175</f>
        <v>0</v>
      </c>
      <c r="G175" s="17"/>
      <c r="H175" s="16">
        <f t="shared" ref="H175:H181" si="314">G175*D175</f>
        <v>0</v>
      </c>
      <c r="I175" s="36">
        <f t="shared" ref="I175:I181" si="315">(G175+E175)*D175</f>
        <v>0</v>
      </c>
      <c r="J175" s="17"/>
      <c r="K175" s="16">
        <f t="shared" ref="K175:K181" si="316">J175*D175</f>
        <v>0</v>
      </c>
      <c r="L175" s="17"/>
      <c r="M175" s="16">
        <f t="shared" ref="M175:M181" si="317">L175*D175</f>
        <v>0</v>
      </c>
      <c r="N175" s="36">
        <f t="shared" ref="N175:N181" si="318">(L175+J175)*D175</f>
        <v>0</v>
      </c>
      <c r="O175" s="17"/>
      <c r="P175" s="16">
        <f t="shared" ref="P175:P181" si="319">O175*D175</f>
        <v>0</v>
      </c>
      <c r="Q175" s="17"/>
      <c r="R175" s="16">
        <f t="shared" ref="R175:R181" si="320">Q175*D175</f>
        <v>0</v>
      </c>
      <c r="S175" s="36">
        <f t="shared" ref="S175:S181" si="321">(Q175+O175)*D175</f>
        <v>0</v>
      </c>
      <c r="T175" s="17">
        <f t="shared" si="310"/>
        <v>0</v>
      </c>
      <c r="U175" s="39">
        <f t="shared" ref="U175:U181" si="322">S175+N175+I175</f>
        <v>0</v>
      </c>
    </row>
    <row r="176" spans="2:21" s="18" customFormat="1" x14ac:dyDescent="0.25">
      <c r="B176" s="16" t="s">
        <v>30</v>
      </c>
      <c r="C176" s="17">
        <v>1000</v>
      </c>
      <c r="D176" s="16">
        <v>97.9</v>
      </c>
      <c r="E176" s="17"/>
      <c r="F176" s="16">
        <f t="shared" si="313"/>
        <v>0</v>
      </c>
      <c r="G176" s="17"/>
      <c r="H176" s="16">
        <f t="shared" si="314"/>
        <v>0</v>
      </c>
      <c r="I176" s="36">
        <f t="shared" si="315"/>
        <v>0</v>
      </c>
      <c r="J176" s="17"/>
      <c r="K176" s="16">
        <f t="shared" si="316"/>
        <v>0</v>
      </c>
      <c r="L176" s="17"/>
      <c r="M176" s="16">
        <f t="shared" si="317"/>
        <v>0</v>
      </c>
      <c r="N176" s="36">
        <f t="shared" si="318"/>
        <v>0</v>
      </c>
      <c r="O176" s="17"/>
      <c r="P176" s="16">
        <f t="shared" si="319"/>
        <v>0</v>
      </c>
      <c r="Q176" s="17"/>
      <c r="R176" s="16">
        <f t="shared" si="320"/>
        <v>0</v>
      </c>
      <c r="S176" s="36">
        <f t="shared" si="321"/>
        <v>0</v>
      </c>
      <c r="T176" s="17">
        <f t="shared" si="310"/>
        <v>0</v>
      </c>
      <c r="U176" s="39">
        <f t="shared" si="322"/>
        <v>0</v>
      </c>
    </row>
    <row r="177" spans="2:21" s="18" customFormat="1" x14ac:dyDescent="0.25">
      <c r="B177" s="16" t="s">
        <v>17</v>
      </c>
      <c r="C177" s="17">
        <v>500</v>
      </c>
      <c r="D177" s="16">
        <v>33.5</v>
      </c>
      <c r="E177" s="17"/>
      <c r="F177" s="16">
        <f t="shared" si="313"/>
        <v>0</v>
      </c>
      <c r="G177" s="17"/>
      <c r="H177" s="16">
        <f t="shared" si="314"/>
        <v>0</v>
      </c>
      <c r="I177" s="36">
        <f t="shared" si="315"/>
        <v>0</v>
      </c>
      <c r="J177" s="17"/>
      <c r="K177" s="16">
        <f t="shared" si="316"/>
        <v>0</v>
      </c>
      <c r="L177" s="17"/>
      <c r="M177" s="16">
        <f t="shared" si="317"/>
        <v>0</v>
      </c>
      <c r="N177" s="36">
        <f t="shared" si="318"/>
        <v>0</v>
      </c>
      <c r="O177" s="17">
        <v>40</v>
      </c>
      <c r="P177" s="16">
        <f t="shared" si="319"/>
        <v>1340</v>
      </c>
      <c r="Q177" s="17"/>
      <c r="R177" s="16">
        <f t="shared" si="320"/>
        <v>0</v>
      </c>
      <c r="S177" s="36">
        <f t="shared" si="321"/>
        <v>1340</v>
      </c>
      <c r="T177" s="17">
        <f t="shared" si="310"/>
        <v>40</v>
      </c>
      <c r="U177" s="39">
        <f t="shared" si="322"/>
        <v>1340</v>
      </c>
    </row>
    <row r="178" spans="2:21" s="18" customFormat="1" x14ac:dyDescent="0.25">
      <c r="B178" s="16" t="s">
        <v>18</v>
      </c>
      <c r="C178" s="17">
        <v>500</v>
      </c>
      <c r="D178" s="16">
        <v>49</v>
      </c>
      <c r="E178" s="17"/>
      <c r="F178" s="16">
        <f>E178*D178</f>
        <v>0</v>
      </c>
      <c r="G178" s="17"/>
      <c r="H178" s="16">
        <f t="shared" si="314"/>
        <v>0</v>
      </c>
      <c r="I178" s="36">
        <f t="shared" si="315"/>
        <v>0</v>
      </c>
      <c r="J178" s="17"/>
      <c r="K178" s="16">
        <f t="shared" si="316"/>
        <v>0</v>
      </c>
      <c r="L178" s="17"/>
      <c r="M178" s="16">
        <f t="shared" si="317"/>
        <v>0</v>
      </c>
      <c r="N178" s="36">
        <f t="shared" si="318"/>
        <v>0</v>
      </c>
      <c r="O178" s="17"/>
      <c r="P178" s="16">
        <f t="shared" si="319"/>
        <v>0</v>
      </c>
      <c r="Q178" s="17"/>
      <c r="R178" s="16">
        <f t="shared" si="320"/>
        <v>0</v>
      </c>
      <c r="S178" s="36">
        <f t="shared" si="321"/>
        <v>0</v>
      </c>
      <c r="T178" s="17">
        <f t="shared" si="310"/>
        <v>0</v>
      </c>
      <c r="U178" s="39">
        <f t="shared" si="322"/>
        <v>0</v>
      </c>
    </row>
    <row r="179" spans="2:21" s="18" customFormat="1" x14ac:dyDescent="0.25">
      <c r="B179" s="16" t="s">
        <v>54</v>
      </c>
      <c r="C179" s="17">
        <v>1</v>
      </c>
      <c r="D179" s="16">
        <v>494.8</v>
      </c>
      <c r="E179" s="17"/>
      <c r="F179" s="16">
        <f t="shared" ref="F179:F181" si="323">E179*D179</f>
        <v>0</v>
      </c>
      <c r="G179" s="17"/>
      <c r="H179" s="16">
        <f t="shared" si="314"/>
        <v>0</v>
      </c>
      <c r="I179" s="36">
        <f t="shared" si="315"/>
        <v>0</v>
      </c>
      <c r="J179" s="17"/>
      <c r="K179" s="16">
        <f t="shared" si="316"/>
        <v>0</v>
      </c>
      <c r="L179" s="17"/>
      <c r="M179" s="16">
        <f t="shared" si="317"/>
        <v>0</v>
      </c>
      <c r="N179" s="36">
        <f t="shared" si="318"/>
        <v>0</v>
      </c>
      <c r="O179" s="17"/>
      <c r="P179" s="16">
        <f t="shared" si="319"/>
        <v>0</v>
      </c>
      <c r="Q179" s="17"/>
      <c r="R179" s="16">
        <f t="shared" si="320"/>
        <v>0</v>
      </c>
      <c r="S179" s="36">
        <f t="shared" si="321"/>
        <v>0</v>
      </c>
      <c r="T179" s="17">
        <f t="shared" si="310"/>
        <v>0</v>
      </c>
      <c r="U179" s="39">
        <f t="shared" si="322"/>
        <v>0</v>
      </c>
    </row>
    <row r="180" spans="2:21" s="18" customFormat="1" x14ac:dyDescent="0.25">
      <c r="B180" s="16" t="s">
        <v>20</v>
      </c>
      <c r="C180" s="17">
        <v>500</v>
      </c>
      <c r="D180" s="16">
        <v>72.2</v>
      </c>
      <c r="E180" s="17"/>
      <c r="F180" s="16">
        <f t="shared" si="323"/>
        <v>0</v>
      </c>
      <c r="G180" s="17"/>
      <c r="H180" s="16">
        <f t="shared" si="314"/>
        <v>0</v>
      </c>
      <c r="I180" s="36">
        <f t="shared" si="315"/>
        <v>0</v>
      </c>
      <c r="J180" s="17"/>
      <c r="K180" s="16">
        <f t="shared" si="316"/>
        <v>0</v>
      </c>
      <c r="L180" s="17"/>
      <c r="M180" s="16">
        <f t="shared" si="317"/>
        <v>0</v>
      </c>
      <c r="N180" s="36">
        <f t="shared" si="318"/>
        <v>0</v>
      </c>
      <c r="O180" s="17"/>
      <c r="P180" s="16">
        <f t="shared" si="319"/>
        <v>0</v>
      </c>
      <c r="Q180" s="17"/>
      <c r="R180" s="16">
        <f t="shared" si="320"/>
        <v>0</v>
      </c>
      <c r="S180" s="36">
        <f t="shared" si="321"/>
        <v>0</v>
      </c>
      <c r="T180" s="17">
        <f t="shared" si="310"/>
        <v>0</v>
      </c>
      <c r="U180" s="39">
        <f t="shared" si="322"/>
        <v>0</v>
      </c>
    </row>
    <row r="181" spans="2:21" s="18" customFormat="1" ht="14.4" thickBot="1" x14ac:dyDescent="0.3">
      <c r="B181" s="16" t="s">
        <v>44</v>
      </c>
      <c r="C181" s="17">
        <v>1000</v>
      </c>
      <c r="D181" s="16">
        <v>180</v>
      </c>
      <c r="E181" s="17"/>
      <c r="F181" s="16">
        <f t="shared" si="323"/>
        <v>0</v>
      </c>
      <c r="G181" s="17"/>
      <c r="H181" s="16">
        <f t="shared" si="314"/>
        <v>0</v>
      </c>
      <c r="I181" s="36">
        <f t="shared" si="315"/>
        <v>0</v>
      </c>
      <c r="J181" s="17"/>
      <c r="K181" s="16">
        <f t="shared" si="316"/>
        <v>0</v>
      </c>
      <c r="L181" s="17"/>
      <c r="M181" s="16">
        <f t="shared" si="317"/>
        <v>0</v>
      </c>
      <c r="N181" s="36">
        <f t="shared" si="318"/>
        <v>0</v>
      </c>
      <c r="O181" s="17"/>
      <c r="P181" s="16">
        <f t="shared" si="319"/>
        <v>0</v>
      </c>
      <c r="Q181" s="17"/>
      <c r="R181" s="16">
        <f t="shared" si="320"/>
        <v>0</v>
      </c>
      <c r="S181" s="36">
        <f t="shared" si="321"/>
        <v>0</v>
      </c>
      <c r="T181" s="17">
        <f t="shared" si="310"/>
        <v>0</v>
      </c>
      <c r="U181" s="39">
        <f t="shared" si="322"/>
        <v>0</v>
      </c>
    </row>
    <row r="182" spans="2:21" s="18" customFormat="1" ht="14.4" thickBot="1" x14ac:dyDescent="0.3">
      <c r="B182" s="19"/>
      <c r="C182" s="20"/>
      <c r="D182" s="21"/>
      <c r="E182" s="22"/>
      <c r="F182" s="23">
        <f>SUM(F175:F181)</f>
        <v>0</v>
      </c>
      <c r="G182" s="22"/>
      <c r="H182" s="23">
        <f>SUM(H175:H181)</f>
        <v>0</v>
      </c>
      <c r="I182" s="26">
        <f>SUM(I175:I181)</f>
        <v>0</v>
      </c>
      <c r="J182" s="22"/>
      <c r="K182" s="23">
        <f>SUM(K175:K181)</f>
        <v>0</v>
      </c>
      <c r="L182" s="22"/>
      <c r="M182" s="23">
        <f>SUM(M175:M181)</f>
        <v>0</v>
      </c>
      <c r="N182" s="26">
        <f>SUM(N175:N181)</f>
        <v>0</v>
      </c>
      <c r="O182" s="22"/>
      <c r="P182" s="23">
        <f>SUM(P175:P181)</f>
        <v>1340</v>
      </c>
      <c r="Q182" s="22"/>
      <c r="R182" s="23">
        <f>SUM(R175:R181)</f>
        <v>0</v>
      </c>
      <c r="S182" s="26">
        <f>SUM(S175:S181)</f>
        <v>1340</v>
      </c>
      <c r="T182" s="24"/>
      <c r="U182" s="25">
        <f>SUM(U175:U181)</f>
        <v>1340</v>
      </c>
    </row>
    <row r="183" spans="2:21" ht="17.399999999999999" x14ac:dyDescent="0.3">
      <c r="B183" s="10" t="s">
        <v>34</v>
      </c>
      <c r="C183" s="11"/>
      <c r="D183" s="12"/>
      <c r="E183" s="13"/>
      <c r="F183" s="14"/>
      <c r="G183" s="13"/>
      <c r="H183" s="14"/>
      <c r="I183" s="13"/>
      <c r="J183" s="13"/>
      <c r="K183" s="14"/>
      <c r="L183" s="13"/>
      <c r="M183" s="14"/>
      <c r="N183" s="15"/>
      <c r="O183" s="13"/>
      <c r="P183" s="14"/>
      <c r="Q183" s="13"/>
      <c r="R183" s="14"/>
      <c r="S183" s="15"/>
      <c r="T183" s="15"/>
      <c r="U183" s="15"/>
    </row>
    <row r="184" spans="2:21" s="18" customFormat="1" x14ac:dyDescent="0.25">
      <c r="B184" s="16" t="s">
        <v>29</v>
      </c>
      <c r="C184" s="17">
        <v>1000</v>
      </c>
      <c r="D184" s="16">
        <v>82.5</v>
      </c>
      <c r="E184" s="17"/>
      <c r="F184" s="16">
        <f t="shared" ref="F184:F186" si="324">E184*D184</f>
        <v>0</v>
      </c>
      <c r="G184" s="17"/>
      <c r="H184" s="16">
        <f t="shared" ref="H184:H190" si="325">G184*D184</f>
        <v>0</v>
      </c>
      <c r="I184" s="36">
        <f t="shared" ref="I184:I190" si="326">(G184+E184)*D184</f>
        <v>0</v>
      </c>
      <c r="J184" s="17"/>
      <c r="K184" s="16">
        <f t="shared" ref="K184:K190" si="327">J184*D184</f>
        <v>0</v>
      </c>
      <c r="L184" s="17"/>
      <c r="M184" s="16">
        <f t="shared" ref="M184:M190" si="328">L184*D184</f>
        <v>0</v>
      </c>
      <c r="N184" s="36">
        <f t="shared" ref="N184:N190" si="329">(L184+J184)*D184</f>
        <v>0</v>
      </c>
      <c r="O184" s="17"/>
      <c r="P184" s="16">
        <f t="shared" ref="P184:P190" si="330">O184*D184</f>
        <v>0</v>
      </c>
      <c r="Q184" s="17"/>
      <c r="R184" s="16">
        <f t="shared" ref="R184:R190" si="331">Q184*D184</f>
        <v>0</v>
      </c>
      <c r="S184" s="36">
        <f t="shared" ref="S184:S190" si="332">(Q184+O184)*D184</f>
        <v>0</v>
      </c>
      <c r="T184" s="17">
        <f t="shared" ref="T184:T190" si="333">G184+E184+J184+L184+O184+Q184</f>
        <v>0</v>
      </c>
      <c r="U184" s="39">
        <f t="shared" ref="U184:U190" si="334">S184+N184+I184</f>
        <v>0</v>
      </c>
    </row>
    <row r="185" spans="2:21" s="18" customFormat="1" x14ac:dyDescent="0.25">
      <c r="B185" s="16" t="s">
        <v>30</v>
      </c>
      <c r="C185" s="17">
        <v>1000</v>
      </c>
      <c r="D185" s="16">
        <v>97.9</v>
      </c>
      <c r="E185" s="17"/>
      <c r="F185" s="16">
        <f t="shared" si="324"/>
        <v>0</v>
      </c>
      <c r="G185" s="17"/>
      <c r="H185" s="16">
        <f t="shared" si="325"/>
        <v>0</v>
      </c>
      <c r="I185" s="36">
        <f t="shared" si="326"/>
        <v>0</v>
      </c>
      <c r="J185" s="17"/>
      <c r="K185" s="16">
        <f t="shared" si="327"/>
        <v>0</v>
      </c>
      <c r="L185" s="17"/>
      <c r="M185" s="16">
        <f t="shared" si="328"/>
        <v>0</v>
      </c>
      <c r="N185" s="36">
        <f t="shared" si="329"/>
        <v>0</v>
      </c>
      <c r="O185" s="17"/>
      <c r="P185" s="16">
        <f t="shared" si="330"/>
        <v>0</v>
      </c>
      <c r="Q185" s="17"/>
      <c r="R185" s="16">
        <f t="shared" si="331"/>
        <v>0</v>
      </c>
      <c r="S185" s="36">
        <f t="shared" si="332"/>
        <v>0</v>
      </c>
      <c r="T185" s="17">
        <f t="shared" si="333"/>
        <v>0</v>
      </c>
      <c r="U185" s="39">
        <f t="shared" si="334"/>
        <v>0</v>
      </c>
    </row>
    <row r="186" spans="2:21" s="18" customFormat="1" x14ac:dyDescent="0.25">
      <c r="B186" s="16" t="s">
        <v>17</v>
      </c>
      <c r="C186" s="17">
        <v>500</v>
      </c>
      <c r="D186" s="16">
        <v>33.5</v>
      </c>
      <c r="E186" s="17"/>
      <c r="F186" s="16">
        <f t="shared" si="324"/>
        <v>0</v>
      </c>
      <c r="G186" s="17"/>
      <c r="H186" s="16">
        <f t="shared" si="325"/>
        <v>0</v>
      </c>
      <c r="I186" s="36">
        <f t="shared" si="326"/>
        <v>0</v>
      </c>
      <c r="J186" s="17"/>
      <c r="K186" s="16">
        <f t="shared" si="327"/>
        <v>0</v>
      </c>
      <c r="L186" s="17"/>
      <c r="M186" s="16">
        <f t="shared" si="328"/>
        <v>0</v>
      </c>
      <c r="N186" s="36">
        <f t="shared" si="329"/>
        <v>0</v>
      </c>
      <c r="O186" s="17"/>
      <c r="P186" s="16">
        <f t="shared" si="330"/>
        <v>0</v>
      </c>
      <c r="Q186" s="17"/>
      <c r="R186" s="16">
        <f t="shared" si="331"/>
        <v>0</v>
      </c>
      <c r="S186" s="36">
        <f t="shared" si="332"/>
        <v>0</v>
      </c>
      <c r="T186" s="17">
        <f t="shared" si="333"/>
        <v>0</v>
      </c>
      <c r="U186" s="39">
        <f t="shared" si="334"/>
        <v>0</v>
      </c>
    </row>
    <row r="187" spans="2:21" s="18" customFormat="1" x14ac:dyDescent="0.25">
      <c r="B187" s="16" t="s">
        <v>18</v>
      </c>
      <c r="C187" s="17">
        <v>500</v>
      </c>
      <c r="D187" s="16">
        <v>49</v>
      </c>
      <c r="E187" s="17"/>
      <c r="F187" s="16">
        <f>E187*D187</f>
        <v>0</v>
      </c>
      <c r="G187" s="17"/>
      <c r="H187" s="16">
        <f t="shared" si="325"/>
        <v>0</v>
      </c>
      <c r="I187" s="36">
        <f t="shared" si="326"/>
        <v>0</v>
      </c>
      <c r="J187" s="17"/>
      <c r="K187" s="16">
        <f t="shared" si="327"/>
        <v>0</v>
      </c>
      <c r="L187" s="17"/>
      <c r="M187" s="16">
        <f t="shared" si="328"/>
        <v>0</v>
      </c>
      <c r="N187" s="36">
        <f t="shared" si="329"/>
        <v>0</v>
      </c>
      <c r="O187" s="17"/>
      <c r="P187" s="16">
        <f t="shared" si="330"/>
        <v>0</v>
      </c>
      <c r="Q187" s="17"/>
      <c r="R187" s="16">
        <f t="shared" si="331"/>
        <v>0</v>
      </c>
      <c r="S187" s="36">
        <f t="shared" si="332"/>
        <v>0</v>
      </c>
      <c r="T187" s="17">
        <f t="shared" si="333"/>
        <v>0</v>
      </c>
      <c r="U187" s="39">
        <f t="shared" si="334"/>
        <v>0</v>
      </c>
    </row>
    <row r="188" spans="2:21" s="18" customFormat="1" x14ac:dyDescent="0.25">
      <c r="B188" s="16" t="s">
        <v>19</v>
      </c>
      <c r="C188" s="17">
        <v>1</v>
      </c>
      <c r="D188" s="16">
        <v>84.5</v>
      </c>
      <c r="E188" s="17"/>
      <c r="F188" s="16">
        <f t="shared" ref="F188:F190" si="335">E188*D188</f>
        <v>0</v>
      </c>
      <c r="G188" s="17"/>
      <c r="H188" s="16">
        <f t="shared" si="325"/>
        <v>0</v>
      </c>
      <c r="I188" s="36">
        <f t="shared" si="326"/>
        <v>0</v>
      </c>
      <c r="J188" s="17"/>
      <c r="K188" s="16">
        <f t="shared" si="327"/>
        <v>0</v>
      </c>
      <c r="L188" s="17"/>
      <c r="M188" s="16">
        <f t="shared" si="328"/>
        <v>0</v>
      </c>
      <c r="N188" s="36">
        <f t="shared" si="329"/>
        <v>0</v>
      </c>
      <c r="O188" s="17"/>
      <c r="P188" s="16">
        <f t="shared" si="330"/>
        <v>0</v>
      </c>
      <c r="Q188" s="17"/>
      <c r="R188" s="16">
        <f t="shared" si="331"/>
        <v>0</v>
      </c>
      <c r="S188" s="36">
        <f t="shared" si="332"/>
        <v>0</v>
      </c>
      <c r="T188" s="17">
        <f t="shared" si="333"/>
        <v>0</v>
      </c>
      <c r="U188" s="39">
        <f t="shared" si="334"/>
        <v>0</v>
      </c>
    </row>
    <row r="189" spans="2:21" s="18" customFormat="1" x14ac:dyDescent="0.25">
      <c r="B189" s="16" t="s">
        <v>20</v>
      </c>
      <c r="C189" s="17">
        <v>500</v>
      </c>
      <c r="D189" s="16">
        <v>72.2</v>
      </c>
      <c r="E189" s="17"/>
      <c r="F189" s="16">
        <f t="shared" si="335"/>
        <v>0</v>
      </c>
      <c r="G189" s="17"/>
      <c r="H189" s="16">
        <f t="shared" si="325"/>
        <v>0</v>
      </c>
      <c r="I189" s="36">
        <f t="shared" si="326"/>
        <v>0</v>
      </c>
      <c r="J189" s="17"/>
      <c r="K189" s="16">
        <f t="shared" si="327"/>
        <v>0</v>
      </c>
      <c r="L189" s="17"/>
      <c r="M189" s="16">
        <f t="shared" si="328"/>
        <v>0</v>
      </c>
      <c r="N189" s="36">
        <f t="shared" si="329"/>
        <v>0</v>
      </c>
      <c r="O189" s="17"/>
      <c r="P189" s="16">
        <f t="shared" si="330"/>
        <v>0</v>
      </c>
      <c r="Q189" s="17"/>
      <c r="R189" s="16">
        <f t="shared" si="331"/>
        <v>0</v>
      </c>
      <c r="S189" s="36">
        <f t="shared" si="332"/>
        <v>0</v>
      </c>
      <c r="T189" s="17">
        <f t="shared" si="333"/>
        <v>0</v>
      </c>
      <c r="U189" s="39">
        <f t="shared" si="334"/>
        <v>0</v>
      </c>
    </row>
    <row r="190" spans="2:21" s="18" customFormat="1" ht="14.4" thickBot="1" x14ac:dyDescent="0.3">
      <c r="B190" s="16" t="s">
        <v>44</v>
      </c>
      <c r="C190" s="17">
        <v>1000</v>
      </c>
      <c r="D190" s="16">
        <v>180</v>
      </c>
      <c r="E190" s="17"/>
      <c r="F190" s="16">
        <f t="shared" si="335"/>
        <v>0</v>
      </c>
      <c r="G190" s="17"/>
      <c r="H190" s="16">
        <f t="shared" si="325"/>
        <v>0</v>
      </c>
      <c r="I190" s="36">
        <f t="shared" si="326"/>
        <v>0</v>
      </c>
      <c r="J190" s="17"/>
      <c r="K190" s="16">
        <f t="shared" si="327"/>
        <v>0</v>
      </c>
      <c r="L190" s="17"/>
      <c r="M190" s="16">
        <f t="shared" si="328"/>
        <v>0</v>
      </c>
      <c r="N190" s="36">
        <f t="shared" si="329"/>
        <v>0</v>
      </c>
      <c r="O190" s="17"/>
      <c r="P190" s="16">
        <f t="shared" si="330"/>
        <v>0</v>
      </c>
      <c r="Q190" s="17"/>
      <c r="R190" s="16">
        <f t="shared" si="331"/>
        <v>0</v>
      </c>
      <c r="S190" s="36">
        <f t="shared" si="332"/>
        <v>0</v>
      </c>
      <c r="T190" s="17">
        <f t="shared" si="333"/>
        <v>0</v>
      </c>
      <c r="U190" s="39">
        <f t="shared" si="334"/>
        <v>0</v>
      </c>
    </row>
    <row r="191" spans="2:21" s="18" customFormat="1" ht="14.4" thickBot="1" x14ac:dyDescent="0.3">
      <c r="B191" s="19"/>
      <c r="C191" s="20"/>
      <c r="D191" s="21"/>
      <c r="E191" s="22"/>
      <c r="F191" s="23">
        <f>SUM(F184:F190)</f>
        <v>0</v>
      </c>
      <c r="G191" s="22"/>
      <c r="H191" s="23">
        <f>SUM(H184:H190)</f>
        <v>0</v>
      </c>
      <c r="I191" s="26">
        <f>SUM(I184:I190)</f>
        <v>0</v>
      </c>
      <c r="J191" s="22"/>
      <c r="K191" s="23">
        <f>SUM(K184:K190)</f>
        <v>0</v>
      </c>
      <c r="L191" s="22"/>
      <c r="M191" s="23">
        <f>SUM(M184:M190)</f>
        <v>0</v>
      </c>
      <c r="N191" s="26">
        <f>SUM(N184:N190)</f>
        <v>0</v>
      </c>
      <c r="O191" s="22"/>
      <c r="P191" s="23">
        <f>SUM(P184:P190)</f>
        <v>0</v>
      </c>
      <c r="Q191" s="22"/>
      <c r="R191" s="23">
        <f>SUM(R184:R190)</f>
        <v>0</v>
      </c>
      <c r="S191" s="26">
        <f>SUM(S184:S190)</f>
        <v>0</v>
      </c>
      <c r="T191" s="24"/>
      <c r="U191" s="25">
        <f>SUM(U184:U190)</f>
        <v>0</v>
      </c>
    </row>
    <row r="192" spans="2:21" ht="17.399999999999999" x14ac:dyDescent="0.3">
      <c r="B192" s="10" t="s">
        <v>35</v>
      </c>
      <c r="C192" s="11"/>
      <c r="D192" s="12"/>
      <c r="E192" s="13"/>
      <c r="F192" s="14"/>
      <c r="G192" s="13"/>
      <c r="H192" s="14"/>
      <c r="I192" s="13"/>
      <c r="J192" s="13">
        <v>2328</v>
      </c>
      <c r="K192" s="14">
        <v>45965</v>
      </c>
      <c r="L192" s="13"/>
      <c r="M192" s="14"/>
      <c r="N192" s="15"/>
      <c r="O192" s="13"/>
      <c r="P192" s="14"/>
      <c r="Q192" s="13"/>
      <c r="R192" s="14"/>
      <c r="S192" s="15"/>
      <c r="T192" s="15"/>
      <c r="U192" s="15"/>
    </row>
    <row r="193" spans="2:21" s="18" customFormat="1" x14ac:dyDescent="0.25">
      <c r="B193" s="16" t="s">
        <v>29</v>
      </c>
      <c r="C193" s="17">
        <v>1000</v>
      </c>
      <c r="D193" s="16">
        <v>82.47</v>
      </c>
      <c r="E193" s="17"/>
      <c r="F193" s="16">
        <f t="shared" ref="F193:F195" si="336">E193*D193</f>
        <v>0</v>
      </c>
      <c r="G193" s="17"/>
      <c r="H193" s="16">
        <f t="shared" ref="H193:H199" si="337">G193*D193</f>
        <v>0</v>
      </c>
      <c r="I193" s="36">
        <f t="shared" ref="I193:I199" si="338">(G193+E193)*D193</f>
        <v>0</v>
      </c>
      <c r="J193" s="17"/>
      <c r="K193" s="16">
        <f t="shared" ref="K193:K199" si="339">J193*D193</f>
        <v>0</v>
      </c>
      <c r="L193" s="17"/>
      <c r="M193" s="16">
        <f t="shared" ref="M193:M199" si="340">L193*D193</f>
        <v>0</v>
      </c>
      <c r="N193" s="36">
        <f t="shared" ref="N193:N199" si="341">(L193+J193)*D193</f>
        <v>0</v>
      </c>
      <c r="O193" s="17"/>
      <c r="P193" s="16">
        <f t="shared" ref="P193:P199" si="342">O193*D193</f>
        <v>0</v>
      </c>
      <c r="Q193" s="17"/>
      <c r="R193" s="16">
        <f t="shared" ref="R193:R199" si="343">Q193*D193</f>
        <v>0</v>
      </c>
      <c r="S193" s="36">
        <f t="shared" ref="S193:S199" si="344">(Q193+O193)*D193</f>
        <v>0</v>
      </c>
      <c r="T193" s="17">
        <f t="shared" ref="T193:T199" si="345">G193+E193+J193+L193+O193+Q193</f>
        <v>0</v>
      </c>
      <c r="U193" s="39">
        <f t="shared" ref="U193:U199" si="346">S193+N193+I193</f>
        <v>0</v>
      </c>
    </row>
    <row r="194" spans="2:21" s="18" customFormat="1" x14ac:dyDescent="0.25">
      <c r="B194" s="16" t="s">
        <v>30</v>
      </c>
      <c r="C194" s="17">
        <v>1000</v>
      </c>
      <c r="D194" s="16">
        <v>97.93</v>
      </c>
      <c r="E194" s="17"/>
      <c r="F194" s="16">
        <f t="shared" si="336"/>
        <v>0</v>
      </c>
      <c r="G194" s="17"/>
      <c r="H194" s="16">
        <f t="shared" si="337"/>
        <v>0</v>
      </c>
      <c r="I194" s="36">
        <f t="shared" si="338"/>
        <v>0</v>
      </c>
      <c r="J194" s="17">
        <v>1</v>
      </c>
      <c r="K194" s="16">
        <f t="shared" si="339"/>
        <v>97.93</v>
      </c>
      <c r="L194" s="17"/>
      <c r="M194" s="16">
        <f t="shared" si="340"/>
        <v>0</v>
      </c>
      <c r="N194" s="36">
        <f t="shared" si="341"/>
        <v>97.93</v>
      </c>
      <c r="O194" s="17"/>
      <c r="P194" s="16">
        <f t="shared" si="342"/>
        <v>0</v>
      </c>
      <c r="Q194" s="17"/>
      <c r="R194" s="16">
        <f t="shared" si="343"/>
        <v>0</v>
      </c>
      <c r="S194" s="36">
        <f t="shared" si="344"/>
        <v>0</v>
      </c>
      <c r="T194" s="17">
        <f t="shared" si="345"/>
        <v>1</v>
      </c>
      <c r="U194" s="39">
        <f t="shared" si="346"/>
        <v>97.93</v>
      </c>
    </row>
    <row r="195" spans="2:21" s="18" customFormat="1" x14ac:dyDescent="0.25">
      <c r="B195" s="16" t="s">
        <v>17</v>
      </c>
      <c r="C195" s="17">
        <v>500</v>
      </c>
      <c r="D195" s="16">
        <v>33.5</v>
      </c>
      <c r="E195" s="17"/>
      <c r="F195" s="16">
        <f t="shared" si="336"/>
        <v>0</v>
      </c>
      <c r="G195" s="17"/>
      <c r="H195" s="16">
        <f t="shared" si="337"/>
        <v>0</v>
      </c>
      <c r="I195" s="36">
        <f t="shared" si="338"/>
        <v>0</v>
      </c>
      <c r="J195" s="17">
        <v>30</v>
      </c>
      <c r="K195" s="16">
        <f t="shared" si="339"/>
        <v>1005</v>
      </c>
      <c r="L195" s="17"/>
      <c r="M195" s="16">
        <f t="shared" si="340"/>
        <v>0</v>
      </c>
      <c r="N195" s="36">
        <f t="shared" si="341"/>
        <v>1005</v>
      </c>
      <c r="O195" s="17"/>
      <c r="P195" s="16">
        <f t="shared" si="342"/>
        <v>0</v>
      </c>
      <c r="Q195" s="17"/>
      <c r="R195" s="16">
        <f t="shared" si="343"/>
        <v>0</v>
      </c>
      <c r="S195" s="36">
        <f t="shared" si="344"/>
        <v>0</v>
      </c>
      <c r="T195" s="17">
        <f t="shared" si="345"/>
        <v>30</v>
      </c>
      <c r="U195" s="39">
        <f t="shared" si="346"/>
        <v>1005</v>
      </c>
    </row>
    <row r="196" spans="2:21" s="18" customFormat="1" x14ac:dyDescent="0.25">
      <c r="B196" s="16" t="s">
        <v>18</v>
      </c>
      <c r="C196" s="17">
        <v>500</v>
      </c>
      <c r="D196" s="16">
        <v>48.96</v>
      </c>
      <c r="E196" s="17"/>
      <c r="F196" s="16">
        <f>E196*D196</f>
        <v>0</v>
      </c>
      <c r="G196" s="17"/>
      <c r="H196" s="16">
        <f t="shared" si="337"/>
        <v>0</v>
      </c>
      <c r="I196" s="36">
        <f t="shared" si="338"/>
        <v>0</v>
      </c>
      <c r="J196" s="17"/>
      <c r="K196" s="16">
        <f t="shared" si="339"/>
        <v>0</v>
      </c>
      <c r="L196" s="17"/>
      <c r="M196" s="16">
        <f t="shared" si="340"/>
        <v>0</v>
      </c>
      <c r="N196" s="36">
        <f t="shared" si="341"/>
        <v>0</v>
      </c>
      <c r="O196" s="17"/>
      <c r="P196" s="16">
        <f t="shared" si="342"/>
        <v>0</v>
      </c>
      <c r="Q196" s="17"/>
      <c r="R196" s="16">
        <f t="shared" si="343"/>
        <v>0</v>
      </c>
      <c r="S196" s="36">
        <f t="shared" si="344"/>
        <v>0</v>
      </c>
      <c r="T196" s="17">
        <f t="shared" si="345"/>
        <v>0</v>
      </c>
      <c r="U196" s="39">
        <f t="shared" si="346"/>
        <v>0</v>
      </c>
    </row>
    <row r="197" spans="2:21" s="18" customFormat="1" x14ac:dyDescent="0.25">
      <c r="B197" s="16" t="s">
        <v>19</v>
      </c>
      <c r="C197" s="17">
        <v>10</v>
      </c>
      <c r="D197" s="16">
        <v>494.8</v>
      </c>
      <c r="E197" s="17"/>
      <c r="F197" s="16">
        <f t="shared" ref="F197:F199" si="347">E197*D197</f>
        <v>0</v>
      </c>
      <c r="G197" s="17"/>
      <c r="H197" s="16">
        <f t="shared" si="337"/>
        <v>0</v>
      </c>
      <c r="I197" s="36">
        <f t="shared" si="338"/>
        <v>0</v>
      </c>
      <c r="J197" s="17"/>
      <c r="K197" s="16">
        <f t="shared" si="339"/>
        <v>0</v>
      </c>
      <c r="L197" s="17"/>
      <c r="M197" s="16">
        <f t="shared" si="340"/>
        <v>0</v>
      </c>
      <c r="N197" s="36">
        <f t="shared" si="341"/>
        <v>0</v>
      </c>
      <c r="O197" s="17"/>
      <c r="P197" s="16">
        <f t="shared" si="342"/>
        <v>0</v>
      </c>
      <c r="Q197" s="17"/>
      <c r="R197" s="16">
        <f t="shared" si="343"/>
        <v>0</v>
      </c>
      <c r="S197" s="36">
        <f t="shared" si="344"/>
        <v>0</v>
      </c>
      <c r="T197" s="17">
        <f t="shared" si="345"/>
        <v>0</v>
      </c>
      <c r="U197" s="39">
        <f t="shared" si="346"/>
        <v>0</v>
      </c>
    </row>
    <row r="198" spans="2:21" s="18" customFormat="1" x14ac:dyDescent="0.25">
      <c r="B198" s="16" t="s">
        <v>20</v>
      </c>
      <c r="C198" s="17">
        <v>500</v>
      </c>
      <c r="D198" s="16">
        <v>72.2</v>
      </c>
      <c r="E198" s="17"/>
      <c r="F198" s="16">
        <f t="shared" si="347"/>
        <v>0</v>
      </c>
      <c r="G198" s="17"/>
      <c r="H198" s="16">
        <f t="shared" si="337"/>
        <v>0</v>
      </c>
      <c r="I198" s="36">
        <f t="shared" si="338"/>
        <v>0</v>
      </c>
      <c r="J198" s="17"/>
      <c r="K198" s="16">
        <f t="shared" si="339"/>
        <v>0</v>
      </c>
      <c r="L198" s="17"/>
      <c r="M198" s="16">
        <f t="shared" si="340"/>
        <v>0</v>
      </c>
      <c r="N198" s="36">
        <f t="shared" si="341"/>
        <v>0</v>
      </c>
      <c r="O198" s="17"/>
      <c r="P198" s="16">
        <f t="shared" si="342"/>
        <v>0</v>
      </c>
      <c r="Q198" s="17"/>
      <c r="R198" s="16">
        <f t="shared" si="343"/>
        <v>0</v>
      </c>
      <c r="S198" s="36">
        <f t="shared" si="344"/>
        <v>0</v>
      </c>
      <c r="T198" s="17">
        <f t="shared" si="345"/>
        <v>0</v>
      </c>
      <c r="U198" s="39">
        <f t="shared" si="346"/>
        <v>0</v>
      </c>
    </row>
    <row r="199" spans="2:21" s="18" customFormat="1" ht="14.4" thickBot="1" x14ac:dyDescent="0.3">
      <c r="B199" s="16" t="s">
        <v>44</v>
      </c>
      <c r="C199" s="17">
        <v>1000</v>
      </c>
      <c r="D199" s="16">
        <v>180</v>
      </c>
      <c r="E199" s="17"/>
      <c r="F199" s="16">
        <f t="shared" si="347"/>
        <v>0</v>
      </c>
      <c r="G199" s="17"/>
      <c r="H199" s="16">
        <f t="shared" si="337"/>
        <v>0</v>
      </c>
      <c r="I199" s="36">
        <f t="shared" si="338"/>
        <v>0</v>
      </c>
      <c r="J199" s="17"/>
      <c r="K199" s="16">
        <f t="shared" si="339"/>
        <v>0</v>
      </c>
      <c r="L199" s="17"/>
      <c r="M199" s="16">
        <f t="shared" si="340"/>
        <v>0</v>
      </c>
      <c r="N199" s="36">
        <f t="shared" si="341"/>
        <v>0</v>
      </c>
      <c r="O199" s="17"/>
      <c r="P199" s="16">
        <f t="shared" si="342"/>
        <v>0</v>
      </c>
      <c r="Q199" s="17"/>
      <c r="R199" s="16">
        <f t="shared" si="343"/>
        <v>0</v>
      </c>
      <c r="S199" s="36">
        <f t="shared" si="344"/>
        <v>0</v>
      </c>
      <c r="T199" s="17">
        <f t="shared" si="345"/>
        <v>0</v>
      </c>
      <c r="U199" s="39">
        <f t="shared" si="346"/>
        <v>0</v>
      </c>
    </row>
    <row r="200" spans="2:21" s="18" customFormat="1" ht="14.4" thickBot="1" x14ac:dyDescent="0.3">
      <c r="B200" s="19"/>
      <c r="C200" s="20"/>
      <c r="D200" s="21"/>
      <c r="E200" s="22"/>
      <c r="F200" s="23">
        <f>SUM(F193:F199)</f>
        <v>0</v>
      </c>
      <c r="G200" s="22"/>
      <c r="H200" s="23">
        <f>SUM(H193:H199)</f>
        <v>0</v>
      </c>
      <c r="I200" s="26">
        <f>SUM(I193:I199)</f>
        <v>0</v>
      </c>
      <c r="J200" s="22"/>
      <c r="K200" s="23">
        <f>SUM(K193:K199)</f>
        <v>1102.93</v>
      </c>
      <c r="L200" s="22"/>
      <c r="M200" s="23">
        <f>SUM(M193:M199)</f>
        <v>0</v>
      </c>
      <c r="N200" s="26">
        <f>SUM(N193:N199)</f>
        <v>1102.93</v>
      </c>
      <c r="O200" s="22"/>
      <c r="P200" s="23">
        <f>SUM(P193:P199)</f>
        <v>0</v>
      </c>
      <c r="Q200" s="22"/>
      <c r="R200" s="23">
        <f>SUM(R193:R199)</f>
        <v>0</v>
      </c>
      <c r="S200" s="26">
        <f>SUM(S193:S199)</f>
        <v>0</v>
      </c>
      <c r="T200" s="24"/>
      <c r="U200" s="25">
        <f>SUM(U193:U199)</f>
        <v>1102.93</v>
      </c>
    </row>
    <row r="201" spans="2:21" ht="17.399999999999999" x14ac:dyDescent="0.3">
      <c r="B201" s="10" t="s">
        <v>36</v>
      </c>
      <c r="C201" s="11"/>
      <c r="D201" s="12"/>
      <c r="E201" s="13"/>
      <c r="F201" s="14"/>
      <c r="G201" s="13"/>
      <c r="H201" s="14"/>
      <c r="I201" s="13"/>
      <c r="J201" s="13"/>
      <c r="K201" s="14"/>
      <c r="L201" s="13"/>
      <c r="M201" s="14"/>
      <c r="N201" s="15"/>
      <c r="O201" s="13"/>
      <c r="P201" s="14"/>
      <c r="Q201" s="13"/>
      <c r="R201" s="14"/>
      <c r="S201" s="15"/>
      <c r="T201" s="15"/>
      <c r="U201" s="15"/>
    </row>
    <row r="202" spans="2:21" s="18" customFormat="1" x14ac:dyDescent="0.25">
      <c r="B202" s="16" t="s">
        <v>29</v>
      </c>
      <c r="C202" s="17">
        <v>1000</v>
      </c>
      <c r="D202" s="16">
        <v>82.5</v>
      </c>
      <c r="E202" s="17"/>
      <c r="F202" s="16">
        <f t="shared" ref="F202:F204" si="348">E202*D202</f>
        <v>0</v>
      </c>
      <c r="G202" s="17"/>
      <c r="H202" s="16">
        <f t="shared" ref="H202:H208" si="349">G202*D202</f>
        <v>0</v>
      </c>
      <c r="I202" s="36">
        <f t="shared" ref="I202:I208" si="350">(G202+E202)*D202</f>
        <v>0</v>
      </c>
      <c r="J202" s="17"/>
      <c r="K202" s="16">
        <f t="shared" ref="K202:K208" si="351">J202*D202</f>
        <v>0</v>
      </c>
      <c r="L202" s="17"/>
      <c r="M202" s="16">
        <f t="shared" ref="M202:M208" si="352">L202*D202</f>
        <v>0</v>
      </c>
      <c r="N202" s="36">
        <f t="shared" ref="N202:N208" si="353">(L202+J202)*D202</f>
        <v>0</v>
      </c>
      <c r="O202" s="17"/>
      <c r="P202" s="16">
        <f t="shared" ref="P202:P208" si="354">O202*D202</f>
        <v>0</v>
      </c>
      <c r="Q202" s="17"/>
      <c r="R202" s="16">
        <f t="shared" ref="R202:R208" si="355">Q202*D202</f>
        <v>0</v>
      </c>
      <c r="S202" s="36">
        <f t="shared" ref="S202:S208" si="356">(Q202+O202)*D202</f>
        <v>0</v>
      </c>
      <c r="T202" s="17">
        <f t="shared" ref="T202:T208" si="357">G202+E202+J202+L202+O202+Q202</f>
        <v>0</v>
      </c>
      <c r="U202" s="39">
        <f t="shared" ref="U202:U208" si="358">S202+N202+I202</f>
        <v>0</v>
      </c>
    </row>
    <row r="203" spans="2:21" s="18" customFormat="1" x14ac:dyDescent="0.25">
      <c r="B203" s="16" t="s">
        <v>30</v>
      </c>
      <c r="C203" s="17">
        <v>1000</v>
      </c>
      <c r="D203" s="16">
        <v>97.9</v>
      </c>
      <c r="E203" s="17"/>
      <c r="F203" s="16">
        <f t="shared" si="348"/>
        <v>0</v>
      </c>
      <c r="G203" s="17"/>
      <c r="H203" s="16">
        <f t="shared" si="349"/>
        <v>0</v>
      </c>
      <c r="I203" s="36">
        <f t="shared" si="350"/>
        <v>0</v>
      </c>
      <c r="J203" s="17"/>
      <c r="K203" s="16">
        <f t="shared" si="351"/>
        <v>0</v>
      </c>
      <c r="L203" s="17"/>
      <c r="M203" s="16">
        <f t="shared" si="352"/>
        <v>0</v>
      </c>
      <c r="N203" s="36">
        <f t="shared" si="353"/>
        <v>0</v>
      </c>
      <c r="O203" s="17"/>
      <c r="P203" s="16">
        <f t="shared" si="354"/>
        <v>0</v>
      </c>
      <c r="Q203" s="17"/>
      <c r="R203" s="16">
        <f t="shared" si="355"/>
        <v>0</v>
      </c>
      <c r="S203" s="36">
        <f t="shared" si="356"/>
        <v>0</v>
      </c>
      <c r="T203" s="17">
        <f t="shared" si="357"/>
        <v>0</v>
      </c>
      <c r="U203" s="39">
        <f t="shared" si="358"/>
        <v>0</v>
      </c>
    </row>
    <row r="204" spans="2:21" s="18" customFormat="1" x14ac:dyDescent="0.25">
      <c r="B204" s="16" t="s">
        <v>17</v>
      </c>
      <c r="C204" s="17">
        <v>500</v>
      </c>
      <c r="D204" s="16">
        <v>33.5</v>
      </c>
      <c r="E204" s="17"/>
      <c r="F204" s="16">
        <f t="shared" si="348"/>
        <v>0</v>
      </c>
      <c r="G204" s="17"/>
      <c r="H204" s="16">
        <f t="shared" si="349"/>
        <v>0</v>
      </c>
      <c r="I204" s="36">
        <f t="shared" si="350"/>
        <v>0</v>
      </c>
      <c r="J204" s="17"/>
      <c r="K204" s="16">
        <f t="shared" si="351"/>
        <v>0</v>
      </c>
      <c r="L204" s="17"/>
      <c r="M204" s="16">
        <f t="shared" si="352"/>
        <v>0</v>
      </c>
      <c r="N204" s="36">
        <f t="shared" si="353"/>
        <v>0</v>
      </c>
      <c r="O204" s="17"/>
      <c r="P204" s="16">
        <f t="shared" si="354"/>
        <v>0</v>
      </c>
      <c r="Q204" s="17"/>
      <c r="R204" s="16">
        <f t="shared" si="355"/>
        <v>0</v>
      </c>
      <c r="S204" s="36">
        <f t="shared" si="356"/>
        <v>0</v>
      </c>
      <c r="T204" s="17">
        <f t="shared" si="357"/>
        <v>0</v>
      </c>
      <c r="U204" s="39">
        <f t="shared" si="358"/>
        <v>0</v>
      </c>
    </row>
    <row r="205" spans="2:21" s="18" customFormat="1" x14ac:dyDescent="0.25">
      <c r="B205" s="16" t="s">
        <v>18</v>
      </c>
      <c r="C205" s="17">
        <v>500</v>
      </c>
      <c r="D205" s="16">
        <v>49</v>
      </c>
      <c r="E205" s="17"/>
      <c r="F205" s="16">
        <f>E205*D205</f>
        <v>0</v>
      </c>
      <c r="G205" s="17"/>
      <c r="H205" s="16">
        <f t="shared" si="349"/>
        <v>0</v>
      </c>
      <c r="I205" s="36">
        <f t="shared" si="350"/>
        <v>0</v>
      </c>
      <c r="J205" s="17"/>
      <c r="K205" s="16">
        <f t="shared" si="351"/>
        <v>0</v>
      </c>
      <c r="L205" s="17"/>
      <c r="M205" s="16">
        <f t="shared" si="352"/>
        <v>0</v>
      </c>
      <c r="N205" s="36">
        <f t="shared" si="353"/>
        <v>0</v>
      </c>
      <c r="O205" s="17"/>
      <c r="P205" s="16">
        <f t="shared" si="354"/>
        <v>0</v>
      </c>
      <c r="Q205" s="17"/>
      <c r="R205" s="16">
        <f t="shared" si="355"/>
        <v>0</v>
      </c>
      <c r="S205" s="36">
        <f t="shared" si="356"/>
        <v>0</v>
      </c>
      <c r="T205" s="17">
        <f t="shared" si="357"/>
        <v>0</v>
      </c>
      <c r="U205" s="39">
        <f t="shared" si="358"/>
        <v>0</v>
      </c>
    </row>
    <row r="206" spans="2:21" s="18" customFormat="1" x14ac:dyDescent="0.25">
      <c r="B206" s="16" t="s">
        <v>19</v>
      </c>
      <c r="C206" s="17">
        <v>1</v>
      </c>
      <c r="D206" s="16">
        <v>84.5</v>
      </c>
      <c r="E206" s="17"/>
      <c r="F206" s="16">
        <f t="shared" ref="F206:F208" si="359">E206*D206</f>
        <v>0</v>
      </c>
      <c r="G206" s="17"/>
      <c r="H206" s="16">
        <f t="shared" si="349"/>
        <v>0</v>
      </c>
      <c r="I206" s="36">
        <f t="shared" si="350"/>
        <v>0</v>
      </c>
      <c r="J206" s="17"/>
      <c r="K206" s="16">
        <f t="shared" si="351"/>
        <v>0</v>
      </c>
      <c r="L206" s="17"/>
      <c r="M206" s="16">
        <f t="shared" si="352"/>
        <v>0</v>
      </c>
      <c r="N206" s="36">
        <f t="shared" si="353"/>
        <v>0</v>
      </c>
      <c r="O206" s="17"/>
      <c r="P206" s="16">
        <f t="shared" si="354"/>
        <v>0</v>
      </c>
      <c r="Q206" s="17"/>
      <c r="R206" s="16">
        <f t="shared" si="355"/>
        <v>0</v>
      </c>
      <c r="S206" s="36">
        <f t="shared" si="356"/>
        <v>0</v>
      </c>
      <c r="T206" s="17">
        <f t="shared" si="357"/>
        <v>0</v>
      </c>
      <c r="U206" s="39">
        <f t="shared" si="358"/>
        <v>0</v>
      </c>
    </row>
    <row r="207" spans="2:21" s="18" customFormat="1" x14ac:dyDescent="0.25">
      <c r="B207" s="16" t="s">
        <v>20</v>
      </c>
      <c r="C207" s="17">
        <v>500</v>
      </c>
      <c r="D207" s="16">
        <v>72.2</v>
      </c>
      <c r="E207" s="17"/>
      <c r="F207" s="16">
        <f t="shared" si="359"/>
        <v>0</v>
      </c>
      <c r="G207" s="17"/>
      <c r="H207" s="16">
        <f t="shared" si="349"/>
        <v>0</v>
      </c>
      <c r="I207" s="36">
        <f t="shared" si="350"/>
        <v>0</v>
      </c>
      <c r="J207" s="17"/>
      <c r="K207" s="16">
        <f t="shared" si="351"/>
        <v>0</v>
      </c>
      <c r="L207" s="17"/>
      <c r="M207" s="16">
        <f t="shared" si="352"/>
        <v>0</v>
      </c>
      <c r="N207" s="36">
        <f t="shared" si="353"/>
        <v>0</v>
      </c>
      <c r="O207" s="17"/>
      <c r="P207" s="16">
        <f t="shared" si="354"/>
        <v>0</v>
      </c>
      <c r="Q207" s="17"/>
      <c r="R207" s="16">
        <f t="shared" si="355"/>
        <v>0</v>
      </c>
      <c r="S207" s="36">
        <f t="shared" si="356"/>
        <v>0</v>
      </c>
      <c r="T207" s="17">
        <f t="shared" si="357"/>
        <v>0</v>
      </c>
      <c r="U207" s="39">
        <f t="shared" si="358"/>
        <v>0</v>
      </c>
    </row>
    <row r="208" spans="2:21" s="18" customFormat="1" ht="14.4" thickBot="1" x14ac:dyDescent="0.3">
      <c r="B208" s="16" t="s">
        <v>44</v>
      </c>
      <c r="C208" s="17">
        <v>1000</v>
      </c>
      <c r="D208" s="16">
        <v>180</v>
      </c>
      <c r="E208" s="17"/>
      <c r="F208" s="16">
        <f t="shared" si="359"/>
        <v>0</v>
      </c>
      <c r="G208" s="17"/>
      <c r="H208" s="16">
        <f t="shared" si="349"/>
        <v>0</v>
      </c>
      <c r="I208" s="36">
        <f t="shared" si="350"/>
        <v>0</v>
      </c>
      <c r="J208" s="17"/>
      <c r="K208" s="16">
        <f t="shared" si="351"/>
        <v>0</v>
      </c>
      <c r="L208" s="17"/>
      <c r="M208" s="16">
        <f t="shared" si="352"/>
        <v>0</v>
      </c>
      <c r="N208" s="36">
        <f t="shared" si="353"/>
        <v>0</v>
      </c>
      <c r="O208" s="17"/>
      <c r="P208" s="16">
        <f t="shared" si="354"/>
        <v>0</v>
      </c>
      <c r="Q208" s="17"/>
      <c r="R208" s="16">
        <f t="shared" si="355"/>
        <v>0</v>
      </c>
      <c r="S208" s="36">
        <f t="shared" si="356"/>
        <v>0</v>
      </c>
      <c r="T208" s="17">
        <f t="shared" si="357"/>
        <v>0</v>
      </c>
      <c r="U208" s="39">
        <f t="shared" si="358"/>
        <v>0</v>
      </c>
    </row>
    <row r="209" spans="2:21" s="18" customFormat="1" ht="14.4" thickBot="1" x14ac:dyDescent="0.3">
      <c r="B209" s="19"/>
      <c r="C209" s="20"/>
      <c r="D209" s="21"/>
      <c r="E209" s="22"/>
      <c r="F209" s="23">
        <f>SUM(F202:F208)</f>
        <v>0</v>
      </c>
      <c r="G209" s="22"/>
      <c r="H209" s="23">
        <f>SUM(H202:H208)</f>
        <v>0</v>
      </c>
      <c r="I209" s="26">
        <f>SUM(I202:I208)</f>
        <v>0</v>
      </c>
      <c r="J209" s="22"/>
      <c r="K209" s="23">
        <f>SUM(K202:K208)</f>
        <v>0</v>
      </c>
      <c r="L209" s="22"/>
      <c r="M209" s="23">
        <f>SUM(M202:M208)</f>
        <v>0</v>
      </c>
      <c r="N209" s="26">
        <f>SUM(N202:N208)</f>
        <v>0</v>
      </c>
      <c r="O209" s="22"/>
      <c r="P209" s="23">
        <f>SUM(P202:P208)</f>
        <v>0</v>
      </c>
      <c r="Q209" s="22"/>
      <c r="R209" s="23">
        <f>SUM(R202:R208)</f>
        <v>0</v>
      </c>
      <c r="S209" s="26">
        <f>SUM(S202:S208)</f>
        <v>0</v>
      </c>
      <c r="T209" s="24"/>
      <c r="U209" s="25">
        <f>SUM(U202:U208)</f>
        <v>0</v>
      </c>
    </row>
    <row r="210" spans="2:21" ht="17.399999999999999" x14ac:dyDescent="0.3">
      <c r="B210" s="10" t="s">
        <v>37</v>
      </c>
      <c r="C210" s="11"/>
      <c r="D210" s="12"/>
      <c r="E210" s="13"/>
      <c r="F210" s="14"/>
      <c r="G210" s="13"/>
      <c r="H210" s="14"/>
      <c r="I210" s="13"/>
      <c r="J210" s="13"/>
      <c r="K210" s="14"/>
      <c r="L210" s="13"/>
      <c r="M210" s="14"/>
      <c r="N210" s="15"/>
      <c r="O210" s="13"/>
      <c r="P210" s="14"/>
      <c r="Q210" s="13"/>
      <c r="R210" s="14"/>
      <c r="S210" s="15"/>
      <c r="T210" s="15"/>
      <c r="U210" s="15"/>
    </row>
    <row r="211" spans="2:21" s="18" customFormat="1" x14ac:dyDescent="0.25">
      <c r="B211" s="16" t="s">
        <v>38</v>
      </c>
      <c r="C211" s="17">
        <v>1000</v>
      </c>
      <c r="D211" s="16">
        <v>74.22</v>
      </c>
      <c r="E211" s="17"/>
      <c r="F211" s="16">
        <f t="shared" ref="F211:F213" si="360">E211*D211</f>
        <v>0</v>
      </c>
      <c r="G211" s="17"/>
      <c r="H211" s="16">
        <f t="shared" ref="H211:H216" si="361">G211*D211</f>
        <v>0</v>
      </c>
      <c r="I211" s="36">
        <f t="shared" ref="I211:I216" si="362">(G211+E211)*D211</f>
        <v>0</v>
      </c>
      <c r="J211" s="17"/>
      <c r="K211" s="16">
        <f t="shared" ref="K211:K216" si="363">J211*D211</f>
        <v>0</v>
      </c>
      <c r="L211" s="17"/>
      <c r="M211" s="16">
        <f t="shared" ref="M211:M216" si="364">L211*D211</f>
        <v>0</v>
      </c>
      <c r="N211" s="36">
        <f t="shared" ref="N211:N216" si="365">(L211+J211)*D211</f>
        <v>0</v>
      </c>
      <c r="O211" s="17"/>
      <c r="P211" s="16">
        <f t="shared" ref="P211:P216" si="366">O211*D211</f>
        <v>0</v>
      </c>
      <c r="Q211" s="17"/>
      <c r="R211" s="16">
        <f t="shared" ref="R211:R216" si="367">Q211*D211</f>
        <v>0</v>
      </c>
      <c r="S211" s="36">
        <f t="shared" ref="S211:S216" si="368">(Q211+O211)*D211</f>
        <v>0</v>
      </c>
      <c r="T211" s="17">
        <f t="shared" ref="T211:T216" si="369">G211+E211+J211+L211+O211+Q211</f>
        <v>0</v>
      </c>
      <c r="U211" s="39">
        <f t="shared" ref="U211:U216" si="370">S211+N211+I211</f>
        <v>0</v>
      </c>
    </row>
    <row r="212" spans="2:21" s="18" customFormat="1" x14ac:dyDescent="0.25">
      <c r="B212" s="16" t="s">
        <v>39</v>
      </c>
      <c r="C212" s="17">
        <v>1000</v>
      </c>
      <c r="D212" s="16">
        <v>74.22</v>
      </c>
      <c r="E212" s="17"/>
      <c r="F212" s="16">
        <f t="shared" si="360"/>
        <v>0</v>
      </c>
      <c r="G212" s="17"/>
      <c r="H212" s="16">
        <f t="shared" si="361"/>
        <v>0</v>
      </c>
      <c r="I212" s="36">
        <f t="shared" si="362"/>
        <v>0</v>
      </c>
      <c r="J212" s="17"/>
      <c r="K212" s="16">
        <f t="shared" si="363"/>
        <v>0</v>
      </c>
      <c r="L212" s="17"/>
      <c r="M212" s="16">
        <f t="shared" si="364"/>
        <v>0</v>
      </c>
      <c r="N212" s="36">
        <f t="shared" si="365"/>
        <v>0</v>
      </c>
      <c r="O212" s="17"/>
      <c r="P212" s="16">
        <f t="shared" si="366"/>
        <v>0</v>
      </c>
      <c r="Q212" s="17"/>
      <c r="R212" s="16">
        <f t="shared" si="367"/>
        <v>0</v>
      </c>
      <c r="S212" s="36">
        <f t="shared" si="368"/>
        <v>0</v>
      </c>
      <c r="T212" s="17">
        <f t="shared" si="369"/>
        <v>0</v>
      </c>
      <c r="U212" s="39">
        <f t="shared" si="370"/>
        <v>0</v>
      </c>
    </row>
    <row r="213" spans="2:21" s="18" customFormat="1" x14ac:dyDescent="0.25">
      <c r="B213" s="16" t="s">
        <v>17</v>
      </c>
      <c r="C213" s="17">
        <v>500</v>
      </c>
      <c r="D213" s="16">
        <v>33.5</v>
      </c>
      <c r="E213" s="17"/>
      <c r="F213" s="16">
        <f t="shared" si="360"/>
        <v>0</v>
      </c>
      <c r="G213" s="17"/>
      <c r="H213" s="16">
        <f t="shared" si="361"/>
        <v>0</v>
      </c>
      <c r="I213" s="36">
        <f t="shared" si="362"/>
        <v>0</v>
      </c>
      <c r="J213" s="17"/>
      <c r="K213" s="16">
        <f t="shared" si="363"/>
        <v>0</v>
      </c>
      <c r="L213" s="17"/>
      <c r="M213" s="16">
        <f t="shared" si="364"/>
        <v>0</v>
      </c>
      <c r="N213" s="36">
        <f t="shared" si="365"/>
        <v>0</v>
      </c>
      <c r="O213" s="17"/>
      <c r="P213" s="16">
        <f t="shared" si="366"/>
        <v>0</v>
      </c>
      <c r="Q213" s="17"/>
      <c r="R213" s="16">
        <f t="shared" si="367"/>
        <v>0</v>
      </c>
      <c r="S213" s="36">
        <f t="shared" si="368"/>
        <v>0</v>
      </c>
      <c r="T213" s="17">
        <f t="shared" si="369"/>
        <v>0</v>
      </c>
      <c r="U213" s="39">
        <f t="shared" si="370"/>
        <v>0</v>
      </c>
    </row>
    <row r="214" spans="2:21" s="18" customFormat="1" x14ac:dyDescent="0.25">
      <c r="B214" s="16" t="s">
        <v>40</v>
      </c>
      <c r="C214" s="17">
        <v>1000</v>
      </c>
      <c r="D214" s="16">
        <v>162</v>
      </c>
      <c r="E214" s="17"/>
      <c r="F214" s="16">
        <f>E214*D214</f>
        <v>0</v>
      </c>
      <c r="G214" s="17"/>
      <c r="H214" s="16">
        <f t="shared" si="361"/>
        <v>0</v>
      </c>
      <c r="I214" s="36">
        <f t="shared" si="362"/>
        <v>0</v>
      </c>
      <c r="J214" s="17"/>
      <c r="K214" s="16">
        <f t="shared" si="363"/>
        <v>0</v>
      </c>
      <c r="L214" s="17"/>
      <c r="M214" s="16">
        <f t="shared" si="364"/>
        <v>0</v>
      </c>
      <c r="N214" s="36">
        <f t="shared" si="365"/>
        <v>0</v>
      </c>
      <c r="O214" s="17"/>
      <c r="P214" s="16">
        <f t="shared" si="366"/>
        <v>0</v>
      </c>
      <c r="Q214" s="17"/>
      <c r="R214" s="16">
        <f t="shared" si="367"/>
        <v>0</v>
      </c>
      <c r="S214" s="36">
        <f t="shared" si="368"/>
        <v>0</v>
      </c>
      <c r="T214" s="17">
        <f t="shared" si="369"/>
        <v>0</v>
      </c>
      <c r="U214" s="39">
        <f t="shared" si="370"/>
        <v>0</v>
      </c>
    </row>
    <row r="215" spans="2:21" s="18" customFormat="1" x14ac:dyDescent="0.25">
      <c r="B215" s="16" t="s">
        <v>41</v>
      </c>
      <c r="C215" s="17">
        <v>1000</v>
      </c>
      <c r="D215" s="16">
        <v>192</v>
      </c>
      <c r="E215" s="17"/>
      <c r="F215" s="16">
        <f t="shared" ref="F215:F216" si="371">E215*D215</f>
        <v>0</v>
      </c>
      <c r="G215" s="17"/>
      <c r="H215" s="16">
        <f t="shared" si="361"/>
        <v>0</v>
      </c>
      <c r="I215" s="36">
        <f t="shared" si="362"/>
        <v>0</v>
      </c>
      <c r="J215" s="17"/>
      <c r="K215" s="16">
        <f t="shared" si="363"/>
        <v>0</v>
      </c>
      <c r="L215" s="17"/>
      <c r="M215" s="16">
        <f t="shared" si="364"/>
        <v>0</v>
      </c>
      <c r="N215" s="36">
        <f t="shared" si="365"/>
        <v>0</v>
      </c>
      <c r="O215" s="17"/>
      <c r="P215" s="16">
        <f t="shared" si="366"/>
        <v>0</v>
      </c>
      <c r="Q215" s="17"/>
      <c r="R215" s="16">
        <f t="shared" si="367"/>
        <v>0</v>
      </c>
      <c r="S215" s="36">
        <f t="shared" si="368"/>
        <v>0</v>
      </c>
      <c r="T215" s="17">
        <f t="shared" si="369"/>
        <v>0</v>
      </c>
      <c r="U215" s="39">
        <f t="shared" si="370"/>
        <v>0</v>
      </c>
    </row>
    <row r="216" spans="2:21" s="18" customFormat="1" ht="14.4" thickBot="1" x14ac:dyDescent="0.3">
      <c r="B216" s="19"/>
      <c r="C216" s="20"/>
      <c r="D216" s="21"/>
      <c r="E216" s="17"/>
      <c r="F216" s="16">
        <f t="shared" si="371"/>
        <v>0</v>
      </c>
      <c r="G216" s="17"/>
      <c r="H216" s="16">
        <f t="shared" si="361"/>
        <v>0</v>
      </c>
      <c r="I216" s="36">
        <f t="shared" si="362"/>
        <v>0</v>
      </c>
      <c r="J216" s="17"/>
      <c r="K216" s="16">
        <f t="shared" si="363"/>
        <v>0</v>
      </c>
      <c r="L216" s="17"/>
      <c r="M216" s="16">
        <f t="shared" si="364"/>
        <v>0</v>
      </c>
      <c r="N216" s="36">
        <f t="shared" si="365"/>
        <v>0</v>
      </c>
      <c r="O216" s="17"/>
      <c r="P216" s="16">
        <f t="shared" si="366"/>
        <v>0</v>
      </c>
      <c r="Q216" s="17"/>
      <c r="R216" s="16">
        <f t="shared" si="367"/>
        <v>0</v>
      </c>
      <c r="S216" s="36">
        <f t="shared" si="368"/>
        <v>0</v>
      </c>
      <c r="T216" s="17">
        <f t="shared" si="369"/>
        <v>0</v>
      </c>
      <c r="U216" s="39">
        <f t="shared" si="370"/>
        <v>0</v>
      </c>
    </row>
    <row r="217" spans="2:21" s="18" customFormat="1" ht="14.4" thickBot="1" x14ac:dyDescent="0.3">
      <c r="C217" s="28"/>
      <c r="D217" s="28"/>
      <c r="E217" s="28"/>
      <c r="F217" s="25">
        <f>SUM(F211:F216)</f>
        <v>0</v>
      </c>
      <c r="G217" s="40"/>
      <c r="H217" s="25">
        <f>SUM(H211:H216)</f>
        <v>0</v>
      </c>
      <c r="I217" s="26">
        <f>SUM(I211:I216)</f>
        <v>0</v>
      </c>
      <c r="J217" s="27"/>
      <c r="K217" s="25">
        <f>SUM(K211:K216)</f>
        <v>0</v>
      </c>
      <c r="L217" s="24"/>
      <c r="M217" s="25">
        <f>SUM(M211:M216)</f>
        <v>0</v>
      </c>
      <c r="N217" s="26">
        <f>SUM(N211:N216)</f>
        <v>0</v>
      </c>
      <c r="O217" s="27"/>
      <c r="P217" s="25">
        <f>SUM(P211:P216)</f>
        <v>0</v>
      </c>
      <c r="Q217" s="27"/>
      <c r="R217" s="25">
        <f>SUM(R211:R216)</f>
        <v>0</v>
      </c>
      <c r="S217" s="26">
        <f>SUM(S211:S216)</f>
        <v>0</v>
      </c>
      <c r="T217" s="24"/>
      <c r="U217" s="25">
        <f>SUM(U211:U216)</f>
        <v>0</v>
      </c>
    </row>
    <row r="218" spans="2:21" ht="14.4" thickBot="1" x14ac:dyDescent="0.3">
      <c r="I218" s="26" t="s">
        <v>4</v>
      </c>
      <c r="N218" s="26" t="s">
        <v>4</v>
      </c>
      <c r="S218" s="26" t="s">
        <v>4</v>
      </c>
      <c r="U218" s="26" t="s">
        <v>42</v>
      </c>
    </row>
    <row r="219" spans="2:21" ht="14.4" thickBot="1" x14ac:dyDescent="0.3">
      <c r="I219" s="26">
        <f>I217+I209+I200+I191+I182+I173+I164+I155+I141+I115+I90+I103+I77+I64+I52+I40+I28+I16+I128</f>
        <v>26044.079999999998</v>
      </c>
      <c r="N219" s="26">
        <f>N217+N209+N200+N191+N182+N173+N164+N155+N141+N115+N90+N103+N77+N64+N52+N40+N28+N16+N128</f>
        <v>34419.97</v>
      </c>
      <c r="S219" s="26">
        <f>S217+S209+S200+S191+S182+S173+S164+S155+S141+S115+S90+S103+S77+S64+S52+S40+S28+S16+S128</f>
        <v>33687.86</v>
      </c>
      <c r="U219" s="26">
        <f>U217+U209+U200+U191+U182+U173+U164+U155+U141+U115+U90+U103+U77+U64+U52+U40+U28+U16+U128</f>
        <v>94151.909999999974</v>
      </c>
    </row>
    <row r="222" spans="2:21" x14ac:dyDescent="0.25">
      <c r="N222" s="18"/>
      <c r="S222" s="18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rightToLeft="1" topLeftCell="A7" workbookViewId="0"/>
  </sheetViews>
  <sheetFormatPr defaultRowHeight="13.8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rightToLeft="1" topLeftCell="A16" workbookViewId="0"/>
  </sheetViews>
  <sheetFormatPr defaultRowHeight="13.8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10-11-12-2025</vt:lpstr>
      <vt:lpstr>גיליון2</vt:lpstr>
      <vt:lpstr>גיליון3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Shaul</dc:creator>
  <cp:lastModifiedBy>יהלי יוסף</cp:lastModifiedBy>
  <dcterms:created xsi:type="dcterms:W3CDTF">2024-02-01T12:08:54Z</dcterms:created>
  <dcterms:modified xsi:type="dcterms:W3CDTF">2026-01-08T15:19:00Z</dcterms:modified>
</cp:coreProperties>
</file>