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ינה" sheetId="1" r:id="rId1"/>
    <sheet name="קינג קונג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" formatCode="&quot;₪&quot;\ #,##0;&quot;₪&quot;\ \-#,##0"/>
    <numFmt numFmtId="6" formatCode="&quot;₪&quot;\ #,##0;[Red]&quot;₪&quot;\ \-#,##0"/>
    <numFmt numFmtId="7" formatCode="&quot;₪&quot;\ #,##0.00;&quot;₪&quot;\ \-#,##0.00"/>
    <numFmt numFmtId="8" formatCode="&quot;₪&quot;\ #,##0.00;[Red]&quot;₪&quot;\ \-#,##0.00"/>
    <numFmt numFmtId="41" formatCode="_ * #,##0_ ;_ * \-#,##0_ ;_ * &quot;-&quot;_ ;_ @_ "/>
    <numFmt numFmtId="42" formatCode="_ &quot;₪&quot;\ * #,##0_ ;_ &quot;₪&quot;\ * \-#,##0_ ;_ &quot;₪&quot;\ * &quot;-&quot;_ ;_ @_ "/>
    <numFmt numFmtId="43" formatCode="_ * #,##0.00_ ;_ * \-#,##0.00_ ;_ * &quot;-&quot;??_ ;_ @_ "/>
    <numFmt numFmtId="44" formatCode="_ &quot;₪&quot;\ * #,##0.00_ ;_ &quot;₪&quot;\ * \-#,##0.00_ ;_ &quot;₪&quot;\ * &quot;-&quot;??_ ;_ @_ "/>
    <numFmt numFmtId="56" formatCode="&quot;上午/下午 &quot;hh&quot;時&quot;mm&quot;分&quot;ss&quot;秒 &quot;"/>
    <numFmt numFmtId="164" formatCode="dd/mm/yy"/>
    <numFmt numFmtId="165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1"/>
  <sheetViews>
    <sheetView workbookViewId="0" rightToLeft="1"/>
  </sheetViews>
  <sheetData>
    <row r="1">
      <c r="A1" t="str">
        <v>מור בריאות בע"מ</v>
      </c>
    </row>
    <row r="2">
      <c r="A2" t="str">
        <v>דוח לקוחות קרין</v>
      </c>
    </row>
    <row r="3">
      <c r="D3" t="str">
        <v>מפתח חשבון</v>
      </c>
      <c r="E3" t="str">
        <v>שם חשבון</v>
      </c>
      <c r="F3" t="str">
        <v>אסמכתא</v>
      </c>
      <c r="G3" t="str">
        <v>תאריך</v>
      </c>
      <c r="H3" t="str">
        <v>שם פריט</v>
      </c>
      <c r="I3" t="str">
        <v>מחיר נטו</v>
      </c>
      <c r="J3" t="str">
        <v>כמות יציאה</v>
      </c>
      <c r="K3" t="str">
        <v>סה"כ בתנועה יציאה</v>
      </c>
    </row>
    <row r="4">
      <c r="A4" t="str">
        <v>מינה טומיי קריון(אודון ניהול ואחזקות)</v>
      </c>
      <c r="B4" t="str">
        <v>70047</v>
      </c>
      <c r="C4">
        <v>724</v>
      </c>
    </row>
    <row r="5">
      <c r="D5" t="str">
        <v>70047</v>
      </c>
      <c r="E5" t="str">
        <v>מינה טומיי קריון(אודון ניהול ואחזקות)</v>
      </c>
      <c r="F5">
        <v>810598</v>
      </c>
      <c r="G5">
        <v>45933</v>
      </c>
      <c r="H5" t="str">
        <v>בטטה</v>
      </c>
      <c r="I5">
        <v>5</v>
      </c>
      <c r="J5">
        <v>10</v>
      </c>
      <c r="K5">
        <v>50</v>
      </c>
    </row>
    <row r="6">
      <c r="D6" t="str">
        <v>70047</v>
      </c>
      <c r="E6" t="str">
        <v>מינה טומיי קריון(אודון ניהול ואחזקות)</v>
      </c>
      <c r="F6">
        <v>1587</v>
      </c>
      <c r="G6">
        <v>45939</v>
      </c>
      <c r="H6" t="str">
        <v>בטטה</v>
      </c>
      <c r="I6">
        <v>5</v>
      </c>
      <c r="J6">
        <v>10</v>
      </c>
      <c r="K6">
        <v>50</v>
      </c>
    </row>
    <row r="7">
      <c r="D7" t="str">
        <v>70047</v>
      </c>
      <c r="E7" t="str">
        <v>מינה טומיי קריון(אודון ניהול ואחזקות)</v>
      </c>
      <c r="F7">
        <v>1714</v>
      </c>
      <c r="G7">
        <v>45942</v>
      </c>
      <c r="H7" t="str">
        <v>בטטה</v>
      </c>
      <c r="I7">
        <v>5</v>
      </c>
      <c r="J7">
        <v>20</v>
      </c>
      <c r="K7">
        <v>100</v>
      </c>
    </row>
    <row r="8">
      <c r="D8" t="str">
        <v>70047</v>
      </c>
      <c r="E8" t="str">
        <v>מינה טומיי קריון(אודון ניהול ואחזקות)</v>
      </c>
      <c r="F8">
        <v>2033</v>
      </c>
      <c r="G8">
        <v>45946</v>
      </c>
      <c r="H8" t="str">
        <v>בטטה</v>
      </c>
      <c r="I8">
        <v>5</v>
      </c>
      <c r="J8">
        <v>10</v>
      </c>
      <c r="K8">
        <v>50</v>
      </c>
    </row>
    <row r="9">
      <c r="D9" t="str">
        <v>70047</v>
      </c>
      <c r="E9" t="str">
        <v>מינה טומיי קריון(אודון ניהול ואחזקות)</v>
      </c>
      <c r="F9">
        <v>2128</v>
      </c>
      <c r="G9">
        <v>45949</v>
      </c>
      <c r="H9" t="str">
        <v>בטטה</v>
      </c>
      <c r="I9">
        <v>5</v>
      </c>
      <c r="J9">
        <v>20</v>
      </c>
      <c r="K9">
        <v>100</v>
      </c>
    </row>
    <row r="10">
      <c r="D10" t="str">
        <v>70047</v>
      </c>
      <c r="E10" t="str">
        <v>מינה טומיי קריון(אודון ניהול ואחזקות)</v>
      </c>
      <c r="F10">
        <v>2539</v>
      </c>
      <c r="G10">
        <v>45953</v>
      </c>
      <c r="H10" t="str">
        <v>בטטה</v>
      </c>
      <c r="I10">
        <v>5</v>
      </c>
      <c r="J10">
        <v>10</v>
      </c>
      <c r="K10">
        <v>50</v>
      </c>
    </row>
    <row r="11">
      <c r="D11" t="str">
        <v>70047</v>
      </c>
      <c r="E11" t="str">
        <v>מינה טומיי קריון(אודון ניהול ואחזקות)</v>
      </c>
      <c r="F11">
        <v>2721</v>
      </c>
      <c r="G11">
        <v>45956</v>
      </c>
      <c r="H11" t="str">
        <v>בטטה</v>
      </c>
      <c r="I11">
        <v>5</v>
      </c>
      <c r="J11">
        <v>20</v>
      </c>
      <c r="K11">
        <v>100</v>
      </c>
    </row>
    <row r="12">
      <c r="D12" t="str">
        <v>70047</v>
      </c>
      <c r="E12" t="str">
        <v>מינה טומיי קריון(אודון ניהול ואחזקות)</v>
      </c>
      <c r="F12">
        <v>3059</v>
      </c>
      <c r="G12">
        <v>45960</v>
      </c>
      <c r="H12" t="str">
        <v>בטטה</v>
      </c>
      <c r="I12">
        <v>5</v>
      </c>
      <c r="J12">
        <v>10</v>
      </c>
      <c r="K12">
        <v>50</v>
      </c>
    </row>
    <row r="13">
      <c r="D13" t="str">
        <v>70047</v>
      </c>
      <c r="E13" t="str">
        <v>מינה טומיי קריון(אודון ניהול ואחזקות)</v>
      </c>
      <c r="F13">
        <v>9140</v>
      </c>
      <c r="G13">
        <v>45963</v>
      </c>
      <c r="H13" t="str">
        <v>בטטה</v>
      </c>
      <c r="I13">
        <v>5</v>
      </c>
      <c r="J13">
        <v>20</v>
      </c>
      <c r="K13">
        <v>100</v>
      </c>
    </row>
    <row r="14">
      <c r="D14" t="str">
        <v>70047</v>
      </c>
      <c r="E14" t="str">
        <v>מינה טומיי קריון(אודון ניהול ואחזקות)</v>
      </c>
      <c r="F14">
        <v>447694</v>
      </c>
      <c r="G14">
        <v>45967</v>
      </c>
      <c r="H14" t="str">
        <v>בטטה</v>
      </c>
      <c r="I14">
        <v>5</v>
      </c>
      <c r="J14">
        <v>10</v>
      </c>
      <c r="K14">
        <v>50</v>
      </c>
    </row>
    <row r="15">
      <c r="D15" t="str">
        <v>70047</v>
      </c>
      <c r="E15" t="str">
        <v>מינה טומיי קריון(אודון ניהול ואחזקות)</v>
      </c>
      <c r="F15">
        <v>448189</v>
      </c>
      <c r="G15">
        <v>45974</v>
      </c>
      <c r="H15" t="str">
        <v>בטטה</v>
      </c>
      <c r="I15">
        <v>5</v>
      </c>
      <c r="J15">
        <v>10</v>
      </c>
      <c r="K15">
        <v>50</v>
      </c>
    </row>
    <row r="16">
      <c r="D16" t="str">
        <v>70047</v>
      </c>
      <c r="E16" t="str">
        <v>מינה טומיי קריון(אודון ניהול ואחזקות)</v>
      </c>
      <c r="F16">
        <v>448374</v>
      </c>
      <c r="G16">
        <v>45977</v>
      </c>
      <c r="H16" t="str">
        <v>בטטה</v>
      </c>
      <c r="I16">
        <v>5</v>
      </c>
      <c r="J16">
        <v>20</v>
      </c>
      <c r="K16">
        <v>100</v>
      </c>
    </row>
    <row r="17">
      <c r="D17" t="str">
        <v>70047</v>
      </c>
      <c r="E17" t="str">
        <v>מינה טומיי קריון(אודון ניהול ואחזקות)</v>
      </c>
      <c r="F17">
        <v>448723</v>
      </c>
      <c r="G17">
        <v>45981</v>
      </c>
      <c r="H17" t="str">
        <v>בטטה</v>
      </c>
      <c r="I17">
        <v>5</v>
      </c>
      <c r="J17">
        <v>10</v>
      </c>
      <c r="K17">
        <v>50</v>
      </c>
    </row>
    <row r="18">
      <c r="D18" t="str">
        <v>70047</v>
      </c>
      <c r="E18" t="str">
        <v>מינה טומיי קריון(אודון ניהול ואחזקות)</v>
      </c>
      <c r="F18">
        <v>448847</v>
      </c>
      <c r="G18">
        <v>45984</v>
      </c>
      <c r="H18" t="str">
        <v>בטטה</v>
      </c>
      <c r="I18">
        <v>5</v>
      </c>
      <c r="J18">
        <v>20</v>
      </c>
      <c r="K18">
        <v>100</v>
      </c>
    </row>
    <row r="19">
      <c r="D19" t="str">
        <v>70047</v>
      </c>
      <c r="E19" t="str">
        <v>מינה טומיי קריון(אודון ניהול ואחזקות)</v>
      </c>
      <c r="F19">
        <v>449220</v>
      </c>
      <c r="G19">
        <v>45988</v>
      </c>
      <c r="H19" t="str">
        <v>בטטה</v>
      </c>
      <c r="I19">
        <v>5</v>
      </c>
      <c r="J19">
        <v>10</v>
      </c>
      <c r="K19">
        <v>50</v>
      </c>
    </row>
    <row r="20">
      <c r="D20" t="str">
        <v>70047</v>
      </c>
      <c r="E20" t="str">
        <v>מינה טומיי קריון(אודון ניהול ואחזקות)</v>
      </c>
      <c r="F20">
        <v>449343</v>
      </c>
      <c r="G20">
        <v>45991</v>
      </c>
      <c r="H20" t="str">
        <v>בטטה</v>
      </c>
      <c r="I20">
        <v>5</v>
      </c>
      <c r="J20">
        <v>20</v>
      </c>
      <c r="K20">
        <v>100</v>
      </c>
    </row>
    <row r="21">
      <c r="D21" t="str">
        <v>70047</v>
      </c>
      <c r="E21" t="str">
        <v>מינה טומיי קריון(אודון ניהול ואחזקות)</v>
      </c>
      <c r="F21">
        <v>449665</v>
      </c>
      <c r="G21">
        <v>45995</v>
      </c>
      <c r="H21" t="str">
        <v>בטטה</v>
      </c>
      <c r="I21">
        <v>5</v>
      </c>
      <c r="J21">
        <v>10</v>
      </c>
      <c r="K21">
        <v>50</v>
      </c>
    </row>
    <row r="22">
      <c r="D22" t="str">
        <v>70047</v>
      </c>
      <c r="E22" t="str">
        <v>מינה טומיי קריון(אודון ניהול ואחזקות)</v>
      </c>
      <c r="F22">
        <v>449844</v>
      </c>
      <c r="G22">
        <v>45998</v>
      </c>
      <c r="H22" t="str">
        <v>בטטה</v>
      </c>
      <c r="I22">
        <v>5</v>
      </c>
      <c r="J22">
        <v>20</v>
      </c>
      <c r="K22">
        <v>100</v>
      </c>
    </row>
    <row r="23">
      <c r="D23" t="str">
        <v>70047</v>
      </c>
      <c r="E23" t="str">
        <v>מינה טומיי קריון(אודון ניהול ואחזקות)</v>
      </c>
      <c r="F23">
        <v>450159</v>
      </c>
      <c r="G23">
        <v>46002</v>
      </c>
      <c r="H23" t="str">
        <v>בטטה</v>
      </c>
      <c r="I23">
        <v>5</v>
      </c>
      <c r="J23">
        <v>10</v>
      </c>
      <c r="K23">
        <v>50</v>
      </c>
    </row>
    <row r="24">
      <c r="D24" t="str">
        <v>70047</v>
      </c>
      <c r="E24" t="str">
        <v>מינה טומיי קריון(אודון ניהול ואחזקות)</v>
      </c>
      <c r="F24">
        <v>450334</v>
      </c>
      <c r="G24">
        <v>46005</v>
      </c>
      <c r="H24" t="str">
        <v>בטטה</v>
      </c>
      <c r="I24">
        <v>5</v>
      </c>
      <c r="J24">
        <v>20</v>
      </c>
      <c r="K24">
        <v>100</v>
      </c>
    </row>
    <row r="25">
      <c r="D25" t="str">
        <v>70047</v>
      </c>
      <c r="E25" t="str">
        <v>מינה טומיי קריון(אודון ניהול ואחזקות)</v>
      </c>
      <c r="F25">
        <v>450667</v>
      </c>
      <c r="G25">
        <v>46009</v>
      </c>
      <c r="H25" t="str">
        <v>בטטה</v>
      </c>
      <c r="I25">
        <v>5</v>
      </c>
      <c r="J25">
        <v>10</v>
      </c>
      <c r="K25">
        <v>50</v>
      </c>
    </row>
    <row r="26">
      <c r="D26" t="str">
        <v>70047</v>
      </c>
      <c r="E26" t="str">
        <v>מינה טומיי קריון(אודון ניהול ואחזקות)</v>
      </c>
      <c r="F26">
        <v>450850</v>
      </c>
      <c r="G26">
        <v>46012</v>
      </c>
      <c r="H26" t="str">
        <v>בטטה</v>
      </c>
      <c r="I26">
        <v>5</v>
      </c>
      <c r="J26">
        <v>20</v>
      </c>
      <c r="K26">
        <v>100</v>
      </c>
    </row>
    <row r="27">
      <c r="D27" t="str">
        <v>70047</v>
      </c>
      <c r="E27" t="str">
        <v>מינה טומיי קריון(אודון ניהול ואחזקות)</v>
      </c>
      <c r="F27">
        <v>451256</v>
      </c>
      <c r="G27">
        <v>46016</v>
      </c>
      <c r="H27" t="str">
        <v>בטטה</v>
      </c>
      <c r="I27">
        <v>5</v>
      </c>
      <c r="J27">
        <v>10</v>
      </c>
      <c r="K27">
        <v>50</v>
      </c>
    </row>
    <row r="28">
      <c r="D28" t="str">
        <v>70047</v>
      </c>
      <c r="E28" t="str">
        <v>מינה טומיי קריון(אודון ניהול ואחזקות)</v>
      </c>
      <c r="F28">
        <v>451377</v>
      </c>
      <c r="G28">
        <v>46019</v>
      </c>
      <c r="H28" t="str">
        <v>בטטה</v>
      </c>
      <c r="I28">
        <v>5</v>
      </c>
      <c r="J28">
        <v>20</v>
      </c>
      <c r="K28">
        <v>100</v>
      </c>
    </row>
    <row r="29">
      <c r="D29" t="str">
        <v>70047</v>
      </c>
      <c r="E29" t="str">
        <v>מינה טומיי קריון(אודון ניהול ואחזקות)</v>
      </c>
      <c r="F29">
        <v>810598</v>
      </c>
      <c r="G29">
        <v>45933</v>
      </c>
      <c r="H29" t="str">
        <v>אבוקדו</v>
      </c>
      <c r="I29">
        <v>11.5</v>
      </c>
      <c r="J29">
        <v>20</v>
      </c>
      <c r="K29">
        <v>230</v>
      </c>
    </row>
    <row r="30">
      <c r="D30" t="str">
        <v>70047</v>
      </c>
      <c r="E30" t="str">
        <v>מינה טומיי קריון(אודון ניהול ואחזקות)</v>
      </c>
      <c r="F30">
        <v>810706</v>
      </c>
      <c r="G30">
        <v>45935</v>
      </c>
      <c r="H30" t="str">
        <v>אבוקדו</v>
      </c>
      <c r="I30">
        <v>11.5</v>
      </c>
      <c r="J30">
        <v>40</v>
      </c>
      <c r="K30">
        <v>460</v>
      </c>
    </row>
    <row r="31">
      <c r="D31" t="str">
        <v>70047</v>
      </c>
      <c r="E31" t="str">
        <v>מינה טומיי קריון(אודון ניהול ואחזקות)</v>
      </c>
      <c r="F31">
        <v>1587</v>
      </c>
      <c r="G31">
        <v>45939</v>
      </c>
      <c r="H31" t="str">
        <v>אבוקדו</v>
      </c>
      <c r="I31">
        <v>10</v>
      </c>
      <c r="J31">
        <v>30</v>
      </c>
      <c r="K31">
        <v>300</v>
      </c>
    </row>
    <row r="32">
      <c r="D32" t="str">
        <v>70047</v>
      </c>
      <c r="E32" t="str">
        <v>מינה טומיי קריון(אודון ניהול ואחזקות)</v>
      </c>
      <c r="F32">
        <v>1714</v>
      </c>
      <c r="G32">
        <v>45942</v>
      </c>
      <c r="H32" t="str">
        <v>אבוקדו</v>
      </c>
      <c r="I32">
        <v>10</v>
      </c>
      <c r="J32">
        <v>40</v>
      </c>
      <c r="K32">
        <v>400</v>
      </c>
    </row>
    <row r="33">
      <c r="D33" t="str">
        <v>70047</v>
      </c>
      <c r="E33" t="str">
        <v>מינה טומיי קריון(אודון ניהול ואחזקות)</v>
      </c>
      <c r="F33">
        <v>2033</v>
      </c>
      <c r="G33">
        <v>45946</v>
      </c>
      <c r="H33" t="str">
        <v>אבוקדו</v>
      </c>
      <c r="I33">
        <v>10</v>
      </c>
      <c r="J33">
        <v>30</v>
      </c>
      <c r="K33">
        <v>300</v>
      </c>
    </row>
    <row r="34">
      <c r="D34" t="str">
        <v>70047</v>
      </c>
      <c r="E34" t="str">
        <v>מינה טומיי קריון(אודון ניהול ואחזקות)</v>
      </c>
      <c r="F34">
        <v>2128</v>
      </c>
      <c r="G34">
        <v>45949</v>
      </c>
      <c r="H34" t="str">
        <v>אבוקדו</v>
      </c>
      <c r="I34">
        <v>10</v>
      </c>
      <c r="J34">
        <v>20</v>
      </c>
      <c r="K34">
        <v>200</v>
      </c>
    </row>
    <row r="35">
      <c r="D35" t="str">
        <v>70047</v>
      </c>
      <c r="E35" t="str">
        <v>מינה טומיי קריון(אודון ניהול ואחזקות)</v>
      </c>
      <c r="F35">
        <v>2539</v>
      </c>
      <c r="G35">
        <v>45953</v>
      </c>
      <c r="H35" t="str">
        <v>אבוקדו</v>
      </c>
      <c r="I35">
        <v>10</v>
      </c>
      <c r="J35">
        <v>30</v>
      </c>
      <c r="K35">
        <v>300</v>
      </c>
    </row>
    <row r="36">
      <c r="D36" t="str">
        <v>70047</v>
      </c>
      <c r="E36" t="str">
        <v>מינה טומיי קריון(אודון ניהול ואחזקות)</v>
      </c>
      <c r="F36">
        <v>2721</v>
      </c>
      <c r="G36">
        <v>45956</v>
      </c>
      <c r="H36" t="str">
        <v>אבוקדו</v>
      </c>
      <c r="I36">
        <v>10</v>
      </c>
      <c r="J36">
        <v>20</v>
      </c>
      <c r="K36">
        <v>200</v>
      </c>
    </row>
    <row r="37">
      <c r="D37" t="str">
        <v>70047</v>
      </c>
      <c r="E37" t="str">
        <v>מינה טומיי קריון(אודון ניהול ואחזקות)</v>
      </c>
      <c r="F37">
        <v>2904</v>
      </c>
      <c r="G37">
        <v>45958</v>
      </c>
      <c r="H37" t="str">
        <v>אבוקדו</v>
      </c>
      <c r="I37">
        <v>10</v>
      </c>
      <c r="J37">
        <v>20</v>
      </c>
      <c r="K37">
        <v>200</v>
      </c>
    </row>
    <row r="38">
      <c r="D38" t="str">
        <v>70047</v>
      </c>
      <c r="E38" t="str">
        <v>מינה טומיי קריון(אודון ניהול ואחזקות)</v>
      </c>
      <c r="F38">
        <v>3059</v>
      </c>
      <c r="G38">
        <v>45960</v>
      </c>
      <c r="H38" t="str">
        <v>אבוקדו</v>
      </c>
      <c r="I38">
        <v>10</v>
      </c>
      <c r="J38">
        <v>30</v>
      </c>
      <c r="K38">
        <v>300</v>
      </c>
    </row>
    <row r="39">
      <c r="D39" t="str">
        <v>70047</v>
      </c>
      <c r="E39" t="str">
        <v>מינה טומיי קריון(אודון ניהול ואחזקות)</v>
      </c>
      <c r="F39">
        <v>9140</v>
      </c>
      <c r="G39">
        <v>45963</v>
      </c>
      <c r="H39" t="str">
        <v>אבוקדו</v>
      </c>
      <c r="I39">
        <v>10</v>
      </c>
      <c r="J39">
        <v>20</v>
      </c>
      <c r="K39">
        <v>200</v>
      </c>
    </row>
    <row r="40">
      <c r="D40" t="str">
        <v>70047</v>
      </c>
      <c r="E40" t="str">
        <v>מינה טומיי קריון(אודון ניהול ואחזקות)</v>
      </c>
      <c r="F40">
        <v>447496</v>
      </c>
      <c r="G40">
        <v>45965</v>
      </c>
      <c r="H40" t="str">
        <v>אבוקדו</v>
      </c>
      <c r="I40">
        <v>10</v>
      </c>
      <c r="J40">
        <v>20</v>
      </c>
      <c r="K40">
        <v>200</v>
      </c>
    </row>
    <row r="41">
      <c r="D41" t="str">
        <v>70047</v>
      </c>
      <c r="E41" t="str">
        <v>מינה טומיי קריון(אודון ניהול ואחזקות)</v>
      </c>
      <c r="F41">
        <v>447694</v>
      </c>
      <c r="G41">
        <v>45967</v>
      </c>
      <c r="H41" t="str">
        <v>אבוקדו</v>
      </c>
      <c r="I41">
        <v>10</v>
      </c>
      <c r="J41">
        <v>30</v>
      </c>
      <c r="K41">
        <v>300</v>
      </c>
    </row>
    <row r="42">
      <c r="D42" t="str">
        <v>70047</v>
      </c>
      <c r="E42" t="str">
        <v>מינה טומיי קריון(אודון ניהול ואחזקות)</v>
      </c>
      <c r="F42">
        <v>447847</v>
      </c>
      <c r="G42">
        <v>45970</v>
      </c>
      <c r="H42" t="str">
        <v>אבוקדו</v>
      </c>
      <c r="I42">
        <v>10</v>
      </c>
      <c r="J42">
        <v>20</v>
      </c>
      <c r="K42">
        <v>200</v>
      </c>
    </row>
    <row r="43">
      <c r="D43" t="str">
        <v>70047</v>
      </c>
      <c r="E43" t="str">
        <v>מינה טומיי קריון(אודון ניהול ואחזקות)</v>
      </c>
      <c r="F43">
        <v>448003</v>
      </c>
      <c r="G43">
        <v>45972</v>
      </c>
      <c r="H43" t="str">
        <v>אבוקדו</v>
      </c>
      <c r="I43">
        <v>10</v>
      </c>
      <c r="J43">
        <v>30</v>
      </c>
      <c r="K43">
        <v>300</v>
      </c>
    </row>
    <row r="44">
      <c r="D44" t="str">
        <v>70047</v>
      </c>
      <c r="E44" t="str">
        <v>מינה טומיי קריון(אודון ניהול ואחזקות)</v>
      </c>
      <c r="F44">
        <v>448189</v>
      </c>
      <c r="G44">
        <v>45974</v>
      </c>
      <c r="H44" t="str">
        <v>אבוקדו</v>
      </c>
      <c r="I44">
        <v>10</v>
      </c>
      <c r="J44">
        <v>30</v>
      </c>
      <c r="K44">
        <v>300</v>
      </c>
    </row>
    <row r="45">
      <c r="D45" t="str">
        <v>70047</v>
      </c>
      <c r="E45" t="str">
        <v>מינה טומיי קריון(אודון ניהול ואחזקות)</v>
      </c>
      <c r="F45">
        <v>448374</v>
      </c>
      <c r="G45">
        <v>45977</v>
      </c>
      <c r="H45" t="str">
        <v>אבוקדו</v>
      </c>
      <c r="I45">
        <v>10</v>
      </c>
      <c r="J45">
        <v>20</v>
      </c>
      <c r="K45">
        <v>200</v>
      </c>
    </row>
    <row r="46">
      <c r="D46" t="str">
        <v>70047</v>
      </c>
      <c r="E46" t="str">
        <v>מינה טומיי קריון(אודון ניהול ואחזקות)</v>
      </c>
      <c r="F46">
        <v>448518</v>
      </c>
      <c r="G46">
        <v>45979</v>
      </c>
      <c r="H46" t="str">
        <v>אבוקדו</v>
      </c>
      <c r="I46">
        <v>10</v>
      </c>
      <c r="J46">
        <v>30</v>
      </c>
      <c r="K46">
        <v>300</v>
      </c>
    </row>
    <row r="47">
      <c r="D47" t="str">
        <v>70047</v>
      </c>
      <c r="E47" t="str">
        <v>מינה טומיי קריון(אודון ניהול ואחזקות)</v>
      </c>
      <c r="F47">
        <v>448723</v>
      </c>
      <c r="G47">
        <v>45981</v>
      </c>
      <c r="H47" t="str">
        <v>אבוקדו</v>
      </c>
      <c r="I47">
        <v>10</v>
      </c>
      <c r="J47">
        <v>30</v>
      </c>
      <c r="K47">
        <v>300</v>
      </c>
    </row>
    <row r="48">
      <c r="D48" t="str">
        <v>70047</v>
      </c>
      <c r="E48" t="str">
        <v>מינה טומיי קריון(אודון ניהול ואחזקות)</v>
      </c>
      <c r="F48">
        <v>448847</v>
      </c>
      <c r="G48">
        <v>45984</v>
      </c>
      <c r="H48" t="str">
        <v>אבוקדו</v>
      </c>
      <c r="I48">
        <v>10</v>
      </c>
      <c r="J48">
        <v>20</v>
      </c>
      <c r="K48">
        <v>200</v>
      </c>
    </row>
    <row r="49">
      <c r="D49" t="str">
        <v>70047</v>
      </c>
      <c r="E49" t="str">
        <v>מינה טומיי קריון(אודון ניהול ואחזקות)</v>
      </c>
      <c r="F49">
        <v>449045</v>
      </c>
      <c r="G49">
        <v>45986</v>
      </c>
      <c r="H49" t="str">
        <v>אבוקדו</v>
      </c>
      <c r="I49">
        <v>10</v>
      </c>
      <c r="J49">
        <v>30</v>
      </c>
      <c r="K49">
        <v>300</v>
      </c>
    </row>
    <row r="50">
      <c r="D50" t="str">
        <v>70047</v>
      </c>
      <c r="E50" t="str">
        <v>מינה טומיי קריון(אודון ניהול ואחזקות)</v>
      </c>
      <c r="F50">
        <v>449220</v>
      </c>
      <c r="G50">
        <v>45988</v>
      </c>
      <c r="H50" t="str">
        <v>אבוקדו</v>
      </c>
      <c r="I50">
        <v>10</v>
      </c>
      <c r="J50">
        <v>30</v>
      </c>
      <c r="K50">
        <v>300</v>
      </c>
    </row>
    <row r="51">
      <c r="D51" t="str">
        <v>70047</v>
      </c>
      <c r="E51" t="str">
        <v>מינה טומיי קריון(אודון ניהול ואחזקות)</v>
      </c>
      <c r="F51">
        <v>449343</v>
      </c>
      <c r="G51">
        <v>45991</v>
      </c>
      <c r="H51" t="str">
        <v>אבוקדו</v>
      </c>
      <c r="I51">
        <v>10</v>
      </c>
      <c r="J51">
        <v>20</v>
      </c>
      <c r="K51">
        <v>200</v>
      </c>
    </row>
    <row r="52">
      <c r="D52" t="str">
        <v>70047</v>
      </c>
      <c r="E52" t="str">
        <v>מינה טומיי קריון(אודון ניהול ואחזקות)</v>
      </c>
      <c r="F52">
        <v>449665</v>
      </c>
      <c r="G52">
        <v>45995</v>
      </c>
      <c r="H52" t="str">
        <v>אבוקדו</v>
      </c>
      <c r="I52">
        <v>10</v>
      </c>
      <c r="J52">
        <v>40</v>
      </c>
      <c r="K52">
        <v>400</v>
      </c>
    </row>
    <row r="53">
      <c r="D53" t="str">
        <v>70047</v>
      </c>
      <c r="E53" t="str">
        <v>מינה טומיי קריון(אודון ניהול ואחזקות)</v>
      </c>
      <c r="F53">
        <v>449844</v>
      </c>
      <c r="G53">
        <v>45998</v>
      </c>
      <c r="H53" t="str">
        <v>אבוקדו</v>
      </c>
      <c r="I53">
        <v>10</v>
      </c>
      <c r="J53">
        <v>20</v>
      </c>
      <c r="K53">
        <v>200</v>
      </c>
    </row>
    <row r="54">
      <c r="D54" t="str">
        <v>70047</v>
      </c>
      <c r="E54" t="str">
        <v>מינה טומיי קריון(אודון ניהול ואחזקות)</v>
      </c>
      <c r="F54">
        <v>449996</v>
      </c>
      <c r="G54">
        <v>46000</v>
      </c>
      <c r="H54" t="str">
        <v>אבוקדו</v>
      </c>
      <c r="I54">
        <v>10</v>
      </c>
      <c r="J54">
        <v>30</v>
      </c>
      <c r="K54">
        <v>300</v>
      </c>
    </row>
    <row r="55">
      <c r="D55" t="str">
        <v>70047</v>
      </c>
      <c r="E55" t="str">
        <v>מינה טומיי קריון(אודון ניהול ואחזקות)</v>
      </c>
      <c r="F55">
        <v>450159</v>
      </c>
      <c r="G55">
        <v>46002</v>
      </c>
      <c r="H55" t="str">
        <v>אבוקדו</v>
      </c>
      <c r="I55">
        <v>10</v>
      </c>
      <c r="J55">
        <v>30</v>
      </c>
      <c r="K55">
        <v>300</v>
      </c>
    </row>
    <row r="56">
      <c r="D56" t="str">
        <v>70047</v>
      </c>
      <c r="E56" t="str">
        <v>מינה טומיי קריון(אודון ניהול ואחזקות)</v>
      </c>
      <c r="F56">
        <v>450334</v>
      </c>
      <c r="G56">
        <v>46005</v>
      </c>
      <c r="H56" t="str">
        <v>אבוקדו</v>
      </c>
      <c r="I56">
        <v>10</v>
      </c>
      <c r="J56">
        <v>20</v>
      </c>
      <c r="K56">
        <v>200</v>
      </c>
    </row>
    <row r="57">
      <c r="D57" t="str">
        <v>70047</v>
      </c>
      <c r="E57" t="str">
        <v>מינה טומיי קריון(אודון ניהול ואחזקות)</v>
      </c>
      <c r="F57">
        <v>450490</v>
      </c>
      <c r="G57">
        <v>46007</v>
      </c>
      <c r="H57" t="str">
        <v>אבוקדו</v>
      </c>
      <c r="I57">
        <v>10</v>
      </c>
      <c r="J57">
        <v>20</v>
      </c>
      <c r="K57">
        <v>200</v>
      </c>
    </row>
    <row r="58">
      <c r="D58" t="str">
        <v>70047</v>
      </c>
      <c r="E58" t="str">
        <v>מינה טומיי קריון(אודון ניהול ואחזקות)</v>
      </c>
      <c r="F58">
        <v>450667</v>
      </c>
      <c r="G58">
        <v>46009</v>
      </c>
      <c r="H58" t="str">
        <v>אבוקדו</v>
      </c>
      <c r="I58">
        <v>10</v>
      </c>
      <c r="J58">
        <v>30</v>
      </c>
      <c r="K58">
        <v>300</v>
      </c>
    </row>
    <row r="59">
      <c r="D59" t="str">
        <v>70047</v>
      </c>
      <c r="E59" t="str">
        <v>מינה טומיי קריון(אודון ניהול ואחזקות)</v>
      </c>
      <c r="F59">
        <v>450850</v>
      </c>
      <c r="G59">
        <v>46012</v>
      </c>
      <c r="H59" t="str">
        <v>אבוקדו</v>
      </c>
      <c r="I59">
        <v>10</v>
      </c>
      <c r="J59">
        <v>20</v>
      </c>
      <c r="K59">
        <v>200</v>
      </c>
    </row>
    <row r="60">
      <c r="D60" t="str">
        <v>70047</v>
      </c>
      <c r="E60" t="str">
        <v>מינה טומיי קריון(אודון ניהול ואחזקות)</v>
      </c>
      <c r="F60">
        <v>451042</v>
      </c>
      <c r="G60">
        <v>46014</v>
      </c>
      <c r="H60" t="str">
        <v>אבוקדו</v>
      </c>
      <c r="I60">
        <v>10</v>
      </c>
      <c r="J60">
        <v>30</v>
      </c>
      <c r="K60">
        <v>300</v>
      </c>
    </row>
    <row r="61">
      <c r="D61" t="str">
        <v>70047</v>
      </c>
      <c r="E61" t="str">
        <v>מינה טומיי קריון(אודון ניהול ואחזקות)</v>
      </c>
      <c r="F61">
        <v>451256</v>
      </c>
      <c r="G61">
        <v>46016</v>
      </c>
      <c r="H61" t="str">
        <v>אבוקדו</v>
      </c>
      <c r="I61">
        <v>10</v>
      </c>
      <c r="J61">
        <v>30</v>
      </c>
      <c r="K61">
        <v>300</v>
      </c>
    </row>
    <row r="62">
      <c r="D62" t="str">
        <v>70047</v>
      </c>
      <c r="E62" t="str">
        <v>מינה טומיי קריון(אודון ניהול ואחזקות)</v>
      </c>
      <c r="F62">
        <v>451377</v>
      </c>
      <c r="G62">
        <v>46019</v>
      </c>
      <c r="H62" t="str">
        <v>אבוקדו</v>
      </c>
      <c r="I62">
        <v>10</v>
      </c>
      <c r="J62">
        <v>20</v>
      </c>
      <c r="K62">
        <v>200</v>
      </c>
    </row>
    <row r="63">
      <c r="D63" t="str">
        <v>70047</v>
      </c>
      <c r="E63" t="str">
        <v>מינה טומיי קריון(אודון ניהול ואחזקות)</v>
      </c>
      <c r="F63">
        <v>451600</v>
      </c>
      <c r="G63">
        <v>46021</v>
      </c>
      <c r="H63" t="str">
        <v>אבוקדו</v>
      </c>
      <c r="I63">
        <v>10</v>
      </c>
      <c r="J63">
        <v>40</v>
      </c>
      <c r="K63">
        <v>400</v>
      </c>
    </row>
    <row r="64">
      <c r="J64">
        <f>SUM(J5:J63)</f>
        <v>1290</v>
      </c>
    </row>
    <row r="65">
      <c r="A65" t="str">
        <v>מינה טומיי קסטרא חיפה (קסטרא טומאיי בע"מ)</v>
      </c>
      <c r="B65" t="str">
        <v>70666</v>
      </c>
      <c r="C65">
        <v>724</v>
      </c>
    </row>
    <row r="66">
      <c r="D66" t="str">
        <v>70666</v>
      </c>
      <c r="E66" t="str">
        <v>מינה טומיי קסטרא חיפה (קסטרא טומאיי בע"מ)</v>
      </c>
      <c r="F66">
        <v>810587</v>
      </c>
      <c r="G66">
        <v>45933</v>
      </c>
      <c r="H66" t="str">
        <v>בטטה</v>
      </c>
      <c r="I66">
        <v>5</v>
      </c>
      <c r="J66">
        <v>30</v>
      </c>
      <c r="K66">
        <v>150</v>
      </c>
    </row>
    <row r="67">
      <c r="D67" t="str">
        <v>70666</v>
      </c>
      <c r="E67" t="str">
        <v>מינה טומיי קסטרא חיפה (קסטרא טומאיי בע"מ)</v>
      </c>
      <c r="F67">
        <v>810694</v>
      </c>
      <c r="G67">
        <v>45935</v>
      </c>
      <c r="H67" t="str">
        <v>בטטה</v>
      </c>
      <c r="I67">
        <v>5</v>
      </c>
      <c r="J67">
        <v>50</v>
      </c>
      <c r="K67">
        <v>250</v>
      </c>
    </row>
    <row r="68">
      <c r="D68" t="str">
        <v>70666</v>
      </c>
      <c r="E68" t="str">
        <v>מינה טומיי קסטרא חיפה (קסטרא טומאיי בע"מ)</v>
      </c>
      <c r="F68">
        <v>1572</v>
      </c>
      <c r="G68">
        <v>45939</v>
      </c>
      <c r="H68" t="str">
        <v>בטטה</v>
      </c>
      <c r="I68">
        <v>5</v>
      </c>
      <c r="J68">
        <v>40</v>
      </c>
      <c r="K68">
        <v>200</v>
      </c>
    </row>
    <row r="69">
      <c r="D69" t="str">
        <v>70666</v>
      </c>
      <c r="E69" t="str">
        <v>מינה טומיי קסטרא חיפה (קסטרא טומאיי בע"מ)</v>
      </c>
      <c r="F69">
        <v>1703</v>
      </c>
      <c r="G69">
        <v>45942</v>
      </c>
      <c r="H69" t="str">
        <v>בטטה</v>
      </c>
      <c r="I69">
        <v>5</v>
      </c>
      <c r="J69">
        <v>50</v>
      </c>
      <c r="K69">
        <v>250</v>
      </c>
    </row>
    <row r="70">
      <c r="D70" t="str">
        <v>70666</v>
      </c>
      <c r="E70" t="str">
        <v>מינה טומיי קסטרא חיפה (קסטרא טומאיי בע"מ)</v>
      </c>
      <c r="F70">
        <v>2019</v>
      </c>
      <c r="G70">
        <v>45946</v>
      </c>
      <c r="H70" t="str">
        <v>בטטה</v>
      </c>
      <c r="I70">
        <v>5</v>
      </c>
      <c r="J70">
        <v>20</v>
      </c>
      <c r="K70">
        <v>100</v>
      </c>
    </row>
    <row r="71">
      <c r="D71" t="str">
        <v>70666</v>
      </c>
      <c r="E71" t="str">
        <v>מינה טומיי קסטרא חיפה (קסטרא טומאיי בע"מ)</v>
      </c>
      <c r="F71">
        <v>2117</v>
      </c>
      <c r="G71">
        <v>45949</v>
      </c>
      <c r="H71" t="str">
        <v>בטטה</v>
      </c>
      <c r="I71">
        <v>5</v>
      </c>
      <c r="J71">
        <v>30</v>
      </c>
      <c r="K71">
        <v>150</v>
      </c>
    </row>
    <row r="72">
      <c r="D72" t="str">
        <v>70666</v>
      </c>
      <c r="E72" t="str">
        <v>מינה טומיי קסטרא חיפה (קסטרא טומאיי בע"מ)</v>
      </c>
      <c r="F72">
        <v>2318</v>
      </c>
      <c r="G72">
        <v>45951</v>
      </c>
      <c r="H72" t="str">
        <v>בטטה</v>
      </c>
      <c r="I72">
        <v>5</v>
      </c>
      <c r="J72">
        <v>30</v>
      </c>
      <c r="K72">
        <v>150</v>
      </c>
    </row>
    <row r="73">
      <c r="D73" t="str">
        <v>70666</v>
      </c>
      <c r="E73" t="str">
        <v>מינה טומיי קסטרא חיפה (קסטרא טומאיי בע"מ)</v>
      </c>
      <c r="F73">
        <v>2525</v>
      </c>
      <c r="G73">
        <v>45953</v>
      </c>
      <c r="H73" t="str">
        <v>בטטה</v>
      </c>
      <c r="I73">
        <v>5</v>
      </c>
      <c r="J73">
        <v>50</v>
      </c>
      <c r="K73">
        <v>250</v>
      </c>
    </row>
    <row r="74">
      <c r="D74" t="str">
        <v>70666</v>
      </c>
      <c r="E74" t="str">
        <v>מינה טומיי קסטרא חיפה (קסטרא טומאיי בע"מ)</v>
      </c>
      <c r="F74">
        <v>2708</v>
      </c>
      <c r="G74">
        <v>45956</v>
      </c>
      <c r="H74" t="str">
        <v>בטטה</v>
      </c>
      <c r="I74">
        <v>5</v>
      </c>
      <c r="J74">
        <v>50</v>
      </c>
      <c r="K74">
        <v>250</v>
      </c>
    </row>
    <row r="75">
      <c r="D75" t="str">
        <v>70666</v>
      </c>
      <c r="E75" t="str">
        <v>מינה טומיי קסטרא חיפה (קסטרא טומאיי בע"מ)</v>
      </c>
      <c r="F75">
        <v>2895</v>
      </c>
      <c r="G75">
        <v>45958</v>
      </c>
      <c r="H75" t="str">
        <v>בטטה</v>
      </c>
      <c r="I75">
        <v>5</v>
      </c>
      <c r="J75">
        <v>30</v>
      </c>
      <c r="K75">
        <v>150</v>
      </c>
    </row>
    <row r="76">
      <c r="D76" t="str">
        <v>70666</v>
      </c>
      <c r="E76" t="str">
        <v>מינה טומיי קסטרא חיפה (קסטרא טומאיי בע"מ)</v>
      </c>
      <c r="F76">
        <v>3047</v>
      </c>
      <c r="G76">
        <v>45960</v>
      </c>
      <c r="H76" t="str">
        <v>בטטה</v>
      </c>
      <c r="I76">
        <v>5</v>
      </c>
      <c r="J76">
        <v>60</v>
      </c>
      <c r="K76">
        <v>300</v>
      </c>
    </row>
    <row r="77">
      <c r="D77" t="str">
        <v>70666</v>
      </c>
      <c r="E77" t="str">
        <v>מינה טומיי קסטרא חיפה (קסטרא טומאיי בע"מ)</v>
      </c>
      <c r="F77">
        <v>9129</v>
      </c>
      <c r="G77">
        <v>45963</v>
      </c>
      <c r="H77" t="str">
        <v>בטטה</v>
      </c>
      <c r="I77">
        <v>5</v>
      </c>
      <c r="J77">
        <v>20</v>
      </c>
      <c r="K77">
        <v>100</v>
      </c>
    </row>
    <row r="78">
      <c r="D78" t="str">
        <v>70666</v>
      </c>
      <c r="E78" t="str">
        <v>מינה טומיי קסטרא חיפה (קסטרא טומאיי בע"מ)</v>
      </c>
      <c r="F78">
        <v>447486</v>
      </c>
      <c r="G78">
        <v>45965</v>
      </c>
      <c r="H78" t="str">
        <v>בטטה</v>
      </c>
      <c r="I78">
        <v>5</v>
      </c>
      <c r="J78">
        <v>30</v>
      </c>
      <c r="K78">
        <v>150</v>
      </c>
    </row>
    <row r="79">
      <c r="D79" t="str">
        <v>70666</v>
      </c>
      <c r="E79" t="str">
        <v>מינה טומיי קסטרא חיפה (קסטרא טומאיי בע"מ)</v>
      </c>
      <c r="F79">
        <v>447681</v>
      </c>
      <c r="G79">
        <v>45967</v>
      </c>
      <c r="H79" t="str">
        <v>בטטה</v>
      </c>
      <c r="I79">
        <v>5</v>
      </c>
      <c r="J79">
        <v>50</v>
      </c>
      <c r="K79">
        <v>250</v>
      </c>
    </row>
    <row r="80">
      <c r="D80" t="str">
        <v>70666</v>
      </c>
      <c r="E80" t="str">
        <v>מינה טומיי קסטרא חיפה (קסטרא טומאיי בע"מ)</v>
      </c>
      <c r="F80">
        <v>447834</v>
      </c>
      <c r="G80">
        <v>45970</v>
      </c>
      <c r="H80" t="str">
        <v>בטטה</v>
      </c>
      <c r="I80">
        <v>5</v>
      </c>
      <c r="J80">
        <v>30</v>
      </c>
      <c r="K80">
        <v>150</v>
      </c>
    </row>
    <row r="81">
      <c r="D81" t="str">
        <v>70666</v>
      </c>
      <c r="E81" t="str">
        <v>מינה טומיי קסטרא חיפה (קסטרא טומאיי בע"מ)</v>
      </c>
      <c r="F81">
        <v>447994</v>
      </c>
      <c r="G81">
        <v>45972</v>
      </c>
      <c r="H81" t="str">
        <v>בטטה</v>
      </c>
      <c r="I81">
        <v>5</v>
      </c>
      <c r="J81">
        <v>30</v>
      </c>
      <c r="K81">
        <v>150</v>
      </c>
    </row>
    <row r="82">
      <c r="D82" t="str">
        <v>70666</v>
      </c>
      <c r="E82" t="str">
        <v>מינה טומיי קסטרא חיפה (קסטרא טומאיי בע"מ)</v>
      </c>
      <c r="F82">
        <v>448174</v>
      </c>
      <c r="G82">
        <v>45974</v>
      </c>
      <c r="H82" t="str">
        <v>בטטה</v>
      </c>
      <c r="I82">
        <v>5</v>
      </c>
      <c r="J82">
        <v>30</v>
      </c>
      <c r="K82">
        <v>150</v>
      </c>
    </row>
    <row r="83">
      <c r="D83" t="str">
        <v>70666</v>
      </c>
      <c r="E83" t="str">
        <v>מינה טומיי קסטרא חיפה (קסטרא טומאיי בע"מ)</v>
      </c>
      <c r="F83">
        <v>448362</v>
      </c>
      <c r="G83">
        <v>45977</v>
      </c>
      <c r="H83" t="str">
        <v>בטטה</v>
      </c>
      <c r="I83">
        <v>5</v>
      </c>
      <c r="J83">
        <v>20</v>
      </c>
      <c r="K83">
        <v>100</v>
      </c>
    </row>
    <row r="84">
      <c r="D84" t="str">
        <v>70666</v>
      </c>
      <c r="E84" t="str">
        <v>מינה טומיי קסטרא חיפה (קסטרא טומאיי בע"מ)</v>
      </c>
      <c r="F84">
        <v>448710</v>
      </c>
      <c r="G84">
        <v>45981</v>
      </c>
      <c r="H84" t="str">
        <v>בטטה</v>
      </c>
      <c r="I84">
        <v>5</v>
      </c>
      <c r="J84">
        <v>80</v>
      </c>
      <c r="K84">
        <v>400</v>
      </c>
    </row>
    <row r="85">
      <c r="D85" t="str">
        <v>70666</v>
      </c>
      <c r="E85" t="str">
        <v>מינה טומיי קסטרא חיפה (קסטרא טומאיי בע"מ)</v>
      </c>
      <c r="F85">
        <v>448833</v>
      </c>
      <c r="G85">
        <v>45984</v>
      </c>
      <c r="H85" t="str">
        <v>בטטה</v>
      </c>
      <c r="I85">
        <v>5</v>
      </c>
      <c r="J85">
        <v>30</v>
      </c>
      <c r="K85">
        <v>150</v>
      </c>
    </row>
    <row r="86">
      <c r="D86" t="str">
        <v>70666</v>
      </c>
      <c r="E86" t="str">
        <v>מינה טומיי קסטרא חיפה (קסטרא טומאיי בע"מ)</v>
      </c>
      <c r="F86">
        <v>449036</v>
      </c>
      <c r="G86">
        <v>45986</v>
      </c>
      <c r="H86" t="str">
        <v>בטטה</v>
      </c>
      <c r="I86">
        <v>5</v>
      </c>
      <c r="J86">
        <v>20</v>
      </c>
      <c r="K86">
        <v>100</v>
      </c>
    </row>
    <row r="87">
      <c r="D87" t="str">
        <v>70666</v>
      </c>
      <c r="E87" t="str">
        <v>מינה טומיי קסטרא חיפה (קסטרא טומאיי בע"מ)</v>
      </c>
      <c r="F87">
        <v>449206</v>
      </c>
      <c r="G87">
        <v>45988</v>
      </c>
      <c r="H87" t="str">
        <v>בטטה</v>
      </c>
      <c r="I87">
        <v>5</v>
      </c>
      <c r="J87">
        <v>50</v>
      </c>
      <c r="K87">
        <v>250</v>
      </c>
    </row>
    <row r="88">
      <c r="D88" t="str">
        <v>70666</v>
      </c>
      <c r="E88" t="str">
        <v>מינה טומיי קסטרא חיפה (קסטרא טומאיי בע"מ)</v>
      </c>
      <c r="F88">
        <v>449331</v>
      </c>
      <c r="G88">
        <v>45991</v>
      </c>
      <c r="H88" t="str">
        <v>בטטה</v>
      </c>
      <c r="I88">
        <v>5</v>
      </c>
      <c r="J88">
        <v>20</v>
      </c>
      <c r="K88">
        <v>100</v>
      </c>
    </row>
    <row r="89">
      <c r="D89" t="str">
        <v>70666</v>
      </c>
      <c r="E89" t="str">
        <v>מינה טומיי קסטרא חיפה (קסטרא טומאיי בע"מ)</v>
      </c>
      <c r="F89">
        <v>449533</v>
      </c>
      <c r="G89">
        <v>45993</v>
      </c>
      <c r="H89" t="str">
        <v>בטטה</v>
      </c>
      <c r="I89">
        <v>5</v>
      </c>
      <c r="J89">
        <v>20</v>
      </c>
      <c r="K89">
        <v>100</v>
      </c>
    </row>
    <row r="90">
      <c r="D90" t="str">
        <v>70666</v>
      </c>
      <c r="E90" t="str">
        <v>מינה טומיי קסטרא חיפה (קסטרא טומאיי בע"מ)</v>
      </c>
      <c r="F90">
        <v>449650</v>
      </c>
      <c r="G90">
        <v>45995</v>
      </c>
      <c r="H90" t="str">
        <v>בטטה</v>
      </c>
      <c r="I90">
        <v>5</v>
      </c>
      <c r="J90">
        <v>40</v>
      </c>
      <c r="K90">
        <v>200</v>
      </c>
    </row>
    <row r="91">
      <c r="D91" t="str">
        <v>70666</v>
      </c>
      <c r="E91" t="str">
        <v>מינה טומיי קסטרא חיפה (קסטרא טומאיי בע"מ)</v>
      </c>
      <c r="F91">
        <v>449832</v>
      </c>
      <c r="G91">
        <v>45998</v>
      </c>
      <c r="H91" t="str">
        <v>בטטה</v>
      </c>
      <c r="I91">
        <v>5</v>
      </c>
      <c r="J91">
        <v>30</v>
      </c>
      <c r="K91">
        <v>150</v>
      </c>
    </row>
    <row r="92">
      <c r="D92" t="str">
        <v>70666</v>
      </c>
      <c r="E92" t="str">
        <v>מינה טומיי קסטרא חיפה (קסטרא טומאיי בע"מ)</v>
      </c>
      <c r="F92">
        <v>449987</v>
      </c>
      <c r="G92">
        <v>46000</v>
      </c>
      <c r="H92" t="str">
        <v>בטטה</v>
      </c>
      <c r="I92">
        <v>5</v>
      </c>
      <c r="J92">
        <v>30</v>
      </c>
      <c r="K92">
        <v>150</v>
      </c>
    </row>
    <row r="93">
      <c r="D93" t="str">
        <v>70666</v>
      </c>
      <c r="E93" t="str">
        <v>מינה טומיי קסטרא חיפה (קסטרא טומאיי בע"מ)</v>
      </c>
      <c r="F93">
        <v>450145</v>
      </c>
      <c r="G93">
        <v>46002</v>
      </c>
      <c r="H93" t="str">
        <v>בטטה</v>
      </c>
      <c r="I93">
        <v>5</v>
      </c>
      <c r="J93">
        <v>30</v>
      </c>
      <c r="K93">
        <v>150</v>
      </c>
    </row>
    <row r="94">
      <c r="D94" t="str">
        <v>70666</v>
      </c>
      <c r="E94" t="str">
        <v>מינה טומיי קסטרא חיפה (קסטרא טומאיי בע"מ)</v>
      </c>
      <c r="F94">
        <v>450322</v>
      </c>
      <c r="G94">
        <v>46005</v>
      </c>
      <c r="H94" t="str">
        <v>בטטה</v>
      </c>
      <c r="I94">
        <v>5</v>
      </c>
      <c r="J94">
        <v>30</v>
      </c>
      <c r="K94">
        <v>150</v>
      </c>
    </row>
    <row r="95">
      <c r="D95" t="str">
        <v>70666</v>
      </c>
      <c r="E95" t="str">
        <v>מינה טומיי קסטרא חיפה (קסטרא טומאיי בע"מ)</v>
      </c>
      <c r="F95">
        <v>450481</v>
      </c>
      <c r="G95">
        <v>46007</v>
      </c>
      <c r="H95" t="str">
        <v>בטטה</v>
      </c>
      <c r="I95">
        <v>5</v>
      </c>
      <c r="J95">
        <v>30</v>
      </c>
      <c r="K95">
        <v>150</v>
      </c>
    </row>
    <row r="96">
      <c r="D96" t="str">
        <v>70666</v>
      </c>
      <c r="E96" t="str">
        <v>מינה טומיי קסטרא חיפה (קסטרא טומאיי בע"מ)</v>
      </c>
      <c r="F96">
        <v>450653</v>
      </c>
      <c r="G96">
        <v>46009</v>
      </c>
      <c r="H96" t="str">
        <v>בטטה</v>
      </c>
      <c r="I96">
        <v>5</v>
      </c>
      <c r="J96">
        <v>50</v>
      </c>
      <c r="K96">
        <v>250</v>
      </c>
    </row>
    <row r="97">
      <c r="D97" t="str">
        <v>70666</v>
      </c>
      <c r="E97" t="str">
        <v>מינה טומיי קסטרא חיפה (קסטרא טומאיי בע"מ)</v>
      </c>
      <c r="F97">
        <v>450836</v>
      </c>
      <c r="G97">
        <v>46012</v>
      </c>
      <c r="H97" t="str">
        <v>בטטה</v>
      </c>
      <c r="I97">
        <v>5</v>
      </c>
      <c r="J97">
        <v>30</v>
      </c>
      <c r="K97">
        <v>150</v>
      </c>
    </row>
    <row r="98">
      <c r="D98" t="str">
        <v>70666</v>
      </c>
      <c r="E98" t="str">
        <v>מינה טומיי קסטרא חיפה (קסטרא טומאיי בע"מ)</v>
      </c>
      <c r="F98">
        <v>451033</v>
      </c>
      <c r="G98">
        <v>46014</v>
      </c>
      <c r="H98" t="str">
        <v>בטטה</v>
      </c>
      <c r="I98">
        <v>5</v>
      </c>
      <c r="J98">
        <v>30</v>
      </c>
      <c r="K98">
        <v>150</v>
      </c>
    </row>
    <row r="99">
      <c r="D99" t="str">
        <v>70666</v>
      </c>
      <c r="E99" t="str">
        <v>מינה טומיי קסטרא חיפה (קסטרא טומאיי בע"מ)</v>
      </c>
      <c r="F99">
        <v>451296</v>
      </c>
      <c r="G99">
        <v>46016</v>
      </c>
      <c r="H99" t="str">
        <v>בטטה</v>
      </c>
      <c r="I99">
        <v>5</v>
      </c>
      <c r="J99">
        <v>30</v>
      </c>
      <c r="K99">
        <v>150</v>
      </c>
    </row>
    <row r="100">
      <c r="D100" t="str">
        <v>70666</v>
      </c>
      <c r="E100" t="str">
        <v>מינה טומיי קסטרא חיפה (קסטרא טומאיי בע"מ)</v>
      </c>
      <c r="F100">
        <v>451365</v>
      </c>
      <c r="G100">
        <v>46019</v>
      </c>
      <c r="H100" t="str">
        <v>בטטה</v>
      </c>
      <c r="I100">
        <v>5</v>
      </c>
      <c r="J100">
        <v>30</v>
      </c>
      <c r="K100">
        <v>150</v>
      </c>
    </row>
    <row r="101">
      <c r="D101" t="str">
        <v>70666</v>
      </c>
      <c r="E101" t="str">
        <v>מינה טומיי קסטרא חיפה (קסטרא טומאיי בע"מ)</v>
      </c>
      <c r="F101">
        <v>451591</v>
      </c>
      <c r="G101">
        <v>46021</v>
      </c>
      <c r="H101" t="str">
        <v>בטטה</v>
      </c>
      <c r="I101">
        <v>5</v>
      </c>
      <c r="J101">
        <v>30</v>
      </c>
      <c r="K101">
        <v>150</v>
      </c>
    </row>
    <row r="102">
      <c r="D102" t="str">
        <v>70666</v>
      </c>
      <c r="E102" t="str">
        <v>מינה טומיי קסטרא חיפה (קסטרא טומאיי בע"מ)</v>
      </c>
      <c r="F102">
        <v>810587</v>
      </c>
      <c r="G102">
        <v>45933</v>
      </c>
      <c r="H102" t="str">
        <v>אבוקדו</v>
      </c>
      <c r="I102">
        <v>11.5</v>
      </c>
      <c r="J102">
        <v>20</v>
      </c>
      <c r="K102">
        <v>230</v>
      </c>
    </row>
    <row r="103">
      <c r="D103" t="str">
        <v>70666</v>
      </c>
      <c r="E103" t="str">
        <v>מינה טומיי קסטרא חיפה (קסטרא טומאיי בע"מ)</v>
      </c>
      <c r="F103">
        <v>810694</v>
      </c>
      <c r="G103">
        <v>45935</v>
      </c>
      <c r="H103" t="str">
        <v>אבוקדו</v>
      </c>
      <c r="I103">
        <v>11.5</v>
      </c>
      <c r="J103">
        <v>180</v>
      </c>
      <c r="K103">
        <v>2070</v>
      </c>
    </row>
    <row r="104">
      <c r="D104" t="str">
        <v>70666</v>
      </c>
      <c r="E104" t="str">
        <v>מינה טומיי קסטרא חיפה (קסטרא טומאיי בע"מ)</v>
      </c>
      <c r="F104">
        <v>1572</v>
      </c>
      <c r="G104">
        <v>45939</v>
      </c>
      <c r="H104" t="str">
        <v>אבוקדו</v>
      </c>
      <c r="I104">
        <v>10</v>
      </c>
      <c r="J104">
        <v>180</v>
      </c>
      <c r="K104">
        <v>1800</v>
      </c>
    </row>
    <row r="105">
      <c r="D105" t="str">
        <v>70666</v>
      </c>
      <c r="E105" t="str">
        <v>מינה טומיי קסטרא חיפה (קסטרא טומאיי בע"מ)</v>
      </c>
      <c r="F105">
        <v>1703</v>
      </c>
      <c r="G105">
        <v>45942</v>
      </c>
      <c r="H105" t="str">
        <v>אבוקדו</v>
      </c>
      <c r="I105">
        <v>10</v>
      </c>
      <c r="J105">
        <v>180</v>
      </c>
      <c r="K105">
        <v>1800</v>
      </c>
    </row>
    <row r="106">
      <c r="D106" t="str">
        <v>70666</v>
      </c>
      <c r="E106" t="str">
        <v>מינה טומיי קסטרא חיפה (קסטרא טומאיי בע"מ)</v>
      </c>
      <c r="F106">
        <v>2272</v>
      </c>
      <c r="G106">
        <v>45942</v>
      </c>
      <c r="H106" t="str">
        <v>אבוקדו</v>
      </c>
      <c r="I106">
        <v>10</v>
      </c>
      <c r="J106">
        <v>-50</v>
      </c>
      <c r="K106">
        <v>-500</v>
      </c>
    </row>
    <row r="107">
      <c r="D107" t="str">
        <v>70666</v>
      </c>
      <c r="E107" t="str">
        <v>מינה טומיי קסטרא חיפה (קסטרא טומאיי בע"מ)</v>
      </c>
      <c r="F107">
        <v>2019</v>
      </c>
      <c r="G107">
        <v>45946</v>
      </c>
      <c r="H107" t="str">
        <v>אבוקדו</v>
      </c>
      <c r="I107">
        <v>10</v>
      </c>
      <c r="J107">
        <v>160</v>
      </c>
      <c r="K107">
        <v>1600</v>
      </c>
    </row>
    <row r="108">
      <c r="D108" t="str">
        <v>70666</v>
      </c>
      <c r="E108" t="str">
        <v>מינה טומיי קסטרא חיפה (קסטרא טומאיי בע"מ)</v>
      </c>
      <c r="F108">
        <v>2117</v>
      </c>
      <c r="G108">
        <v>45949</v>
      </c>
      <c r="H108" t="str">
        <v>אבוקדו</v>
      </c>
      <c r="I108">
        <v>10</v>
      </c>
      <c r="J108">
        <v>100</v>
      </c>
      <c r="K108">
        <v>1000</v>
      </c>
    </row>
    <row r="109">
      <c r="D109" t="str">
        <v>70666</v>
      </c>
      <c r="E109" t="str">
        <v>מינה טומיי קסטרא חיפה (קסטרא טומאיי בע"מ)</v>
      </c>
      <c r="F109">
        <v>2318</v>
      </c>
      <c r="G109">
        <v>45951</v>
      </c>
      <c r="H109" t="str">
        <v>אבוקדו</v>
      </c>
      <c r="I109">
        <v>10</v>
      </c>
      <c r="J109">
        <v>60</v>
      </c>
      <c r="K109">
        <v>600</v>
      </c>
    </row>
    <row r="110">
      <c r="D110" t="str">
        <v>70666</v>
      </c>
      <c r="E110" t="str">
        <v>מינה טומיי קסטרא חיפה (קסטרא טומאיי בע"מ)</v>
      </c>
      <c r="F110">
        <v>2525</v>
      </c>
      <c r="G110">
        <v>45953</v>
      </c>
      <c r="H110" t="str">
        <v>אבוקדו</v>
      </c>
      <c r="I110">
        <v>10</v>
      </c>
      <c r="J110">
        <v>100</v>
      </c>
      <c r="K110">
        <v>1000</v>
      </c>
    </row>
    <row r="111">
      <c r="D111" t="str">
        <v>70666</v>
      </c>
      <c r="E111" t="str">
        <v>מינה טומיי קסטרא חיפה (קסטרא טומאיי בע"מ)</v>
      </c>
      <c r="F111">
        <v>2708</v>
      </c>
      <c r="G111">
        <v>45956</v>
      </c>
      <c r="H111" t="str">
        <v>אבוקדו</v>
      </c>
      <c r="I111">
        <v>10</v>
      </c>
      <c r="J111">
        <v>80</v>
      </c>
      <c r="K111">
        <v>800</v>
      </c>
    </row>
    <row r="112">
      <c r="D112" t="str">
        <v>70666</v>
      </c>
      <c r="E112" t="str">
        <v>מינה טומיי קסטרא חיפה (קסטרא טומאיי בע"מ)</v>
      </c>
      <c r="F112">
        <v>2895</v>
      </c>
      <c r="G112">
        <v>45958</v>
      </c>
      <c r="H112" t="str">
        <v>אבוקדו</v>
      </c>
      <c r="I112">
        <v>10</v>
      </c>
      <c r="J112">
        <v>20</v>
      </c>
      <c r="K112">
        <v>200</v>
      </c>
    </row>
    <row r="113">
      <c r="D113" t="str">
        <v>70666</v>
      </c>
      <c r="E113" t="str">
        <v>מינה טומיי קסטרא חיפה (קסטרא טומאיי בע"מ)</v>
      </c>
      <c r="F113">
        <v>3047</v>
      </c>
      <c r="G113">
        <v>45960</v>
      </c>
      <c r="H113" t="str">
        <v>אבוקדו</v>
      </c>
      <c r="I113">
        <v>10</v>
      </c>
      <c r="J113">
        <v>160</v>
      </c>
      <c r="K113">
        <v>1600</v>
      </c>
    </row>
    <row r="114">
      <c r="D114" t="str">
        <v>70666</v>
      </c>
      <c r="E114" t="str">
        <v>מינה טומיי קסטרא חיפה (קסטרא טומאיי בע"מ)</v>
      </c>
      <c r="F114">
        <v>9129</v>
      </c>
      <c r="G114">
        <v>45963</v>
      </c>
      <c r="H114" t="str">
        <v>אבוקדו</v>
      </c>
      <c r="I114">
        <v>10</v>
      </c>
      <c r="J114">
        <v>80</v>
      </c>
      <c r="K114">
        <v>800</v>
      </c>
    </row>
    <row r="115">
      <c r="D115" t="str">
        <v>70666</v>
      </c>
      <c r="E115" t="str">
        <v>מינה טומיי קסטרא חיפה (קסטרא טומאיי בע"מ)</v>
      </c>
      <c r="F115">
        <v>447486</v>
      </c>
      <c r="G115">
        <v>45965</v>
      </c>
      <c r="H115" t="str">
        <v>אבוקדו</v>
      </c>
      <c r="I115">
        <v>10</v>
      </c>
      <c r="J115">
        <v>40</v>
      </c>
      <c r="K115">
        <v>400</v>
      </c>
    </row>
    <row r="116">
      <c r="D116" t="str">
        <v>70666</v>
      </c>
      <c r="E116" t="str">
        <v>מינה טומיי קסטרא חיפה (קסטרא טומאיי בע"מ)</v>
      </c>
      <c r="F116">
        <v>447681</v>
      </c>
      <c r="G116">
        <v>45967</v>
      </c>
      <c r="H116" t="str">
        <v>אבוקדו</v>
      </c>
      <c r="I116">
        <v>10</v>
      </c>
      <c r="J116">
        <v>140</v>
      </c>
      <c r="K116">
        <v>1400</v>
      </c>
    </row>
    <row r="117">
      <c r="D117" t="str">
        <v>70666</v>
      </c>
      <c r="E117" t="str">
        <v>מינה טומיי קסטרא חיפה (קסטרא טומאיי בע"מ)</v>
      </c>
      <c r="F117">
        <v>447834</v>
      </c>
      <c r="G117">
        <v>45970</v>
      </c>
      <c r="H117" t="str">
        <v>אבוקדו</v>
      </c>
      <c r="I117">
        <v>10</v>
      </c>
      <c r="J117">
        <v>70</v>
      </c>
      <c r="K117">
        <v>700</v>
      </c>
    </row>
    <row r="118">
      <c r="D118" t="str">
        <v>70666</v>
      </c>
      <c r="E118" t="str">
        <v>מינה טומיי קסטרא חיפה (קסטרא טומאיי בע"מ)</v>
      </c>
      <c r="F118">
        <v>447994</v>
      </c>
      <c r="G118">
        <v>45972</v>
      </c>
      <c r="H118" t="str">
        <v>אבוקדו</v>
      </c>
      <c r="I118">
        <v>10</v>
      </c>
      <c r="J118">
        <v>60</v>
      </c>
      <c r="K118">
        <v>600</v>
      </c>
    </row>
    <row r="119">
      <c r="D119" t="str">
        <v>70666</v>
      </c>
      <c r="E119" t="str">
        <v>מינה טומיי קסטרא חיפה (קסטרא טומאיי בע"מ)</v>
      </c>
      <c r="F119">
        <v>448174</v>
      </c>
      <c r="G119">
        <v>45974</v>
      </c>
      <c r="H119" t="str">
        <v>אבוקדו</v>
      </c>
      <c r="I119">
        <v>10</v>
      </c>
      <c r="J119">
        <v>160</v>
      </c>
      <c r="K119">
        <v>1600</v>
      </c>
    </row>
    <row r="120">
      <c r="D120" t="str">
        <v>70666</v>
      </c>
      <c r="E120" t="str">
        <v>מינה טומיי קסטרא חיפה (קסטרא טומאיי בע"מ)</v>
      </c>
      <c r="F120">
        <v>448362</v>
      </c>
      <c r="G120">
        <v>45977</v>
      </c>
      <c r="H120" t="str">
        <v>אבוקדו</v>
      </c>
      <c r="I120">
        <v>10</v>
      </c>
      <c r="J120">
        <v>100</v>
      </c>
      <c r="K120">
        <v>1000</v>
      </c>
    </row>
    <row r="121">
      <c r="D121" t="str">
        <v>70666</v>
      </c>
      <c r="E121" t="str">
        <v>מינה טומיי קסטרא חיפה (קסטרא טומאיי בע"מ)</v>
      </c>
      <c r="F121">
        <v>448414</v>
      </c>
      <c r="G121">
        <v>45977</v>
      </c>
      <c r="H121" t="str">
        <v>אבוקדו</v>
      </c>
      <c r="I121">
        <v>10</v>
      </c>
      <c r="J121">
        <v>80</v>
      </c>
      <c r="K121">
        <v>800</v>
      </c>
    </row>
    <row r="122">
      <c r="D122" t="str">
        <v>70666</v>
      </c>
      <c r="E122" t="str">
        <v>מינה טומיי קסטרא חיפה (קסטרא טומאיי בע"מ)</v>
      </c>
      <c r="F122">
        <v>448710</v>
      </c>
      <c r="G122">
        <v>45981</v>
      </c>
      <c r="H122" t="str">
        <v>אבוקדו</v>
      </c>
      <c r="I122">
        <v>10</v>
      </c>
      <c r="J122">
        <v>170</v>
      </c>
      <c r="K122">
        <v>1700</v>
      </c>
    </row>
    <row r="123">
      <c r="D123" t="str">
        <v>70666</v>
      </c>
      <c r="E123" t="str">
        <v>מינה טומיי קסטרא חיפה (קסטרא טומאיי בע"מ)</v>
      </c>
      <c r="F123">
        <v>448833</v>
      </c>
      <c r="G123">
        <v>45984</v>
      </c>
      <c r="H123" t="str">
        <v>אבוקדו</v>
      </c>
      <c r="I123">
        <v>10</v>
      </c>
      <c r="J123">
        <v>40</v>
      </c>
      <c r="K123">
        <v>400</v>
      </c>
    </row>
    <row r="124">
      <c r="D124" t="str">
        <v>70666</v>
      </c>
      <c r="E124" t="str">
        <v>מינה טומיי קסטרא חיפה (קסטרא טומאיי בע"מ)</v>
      </c>
      <c r="F124">
        <v>449036</v>
      </c>
      <c r="G124">
        <v>45986</v>
      </c>
      <c r="H124" t="str">
        <v>אבוקדו</v>
      </c>
      <c r="I124">
        <v>10</v>
      </c>
      <c r="J124">
        <v>80</v>
      </c>
      <c r="K124">
        <v>800</v>
      </c>
    </row>
    <row r="125">
      <c r="D125" t="str">
        <v>70666</v>
      </c>
      <c r="E125" t="str">
        <v>מינה טומיי קסטרא חיפה (קסטרא טומאיי בע"מ)</v>
      </c>
      <c r="F125">
        <v>449206</v>
      </c>
      <c r="G125">
        <v>45988</v>
      </c>
      <c r="H125" t="str">
        <v>אבוקדו</v>
      </c>
      <c r="I125">
        <v>10</v>
      </c>
      <c r="J125">
        <v>140</v>
      </c>
      <c r="K125">
        <v>1400</v>
      </c>
    </row>
    <row r="126">
      <c r="D126" t="str">
        <v>70666</v>
      </c>
      <c r="E126" t="str">
        <v>מינה טומיי קסטרא חיפה (קסטרא טומאיי בע"מ)</v>
      </c>
      <c r="F126">
        <v>449331</v>
      </c>
      <c r="G126">
        <v>45991</v>
      </c>
      <c r="H126" t="str">
        <v>אבוקדו</v>
      </c>
      <c r="I126">
        <v>10</v>
      </c>
      <c r="J126">
        <v>40</v>
      </c>
      <c r="K126">
        <v>400</v>
      </c>
    </row>
    <row r="127">
      <c r="D127" t="str">
        <v>70666</v>
      </c>
      <c r="E127" t="str">
        <v>מינה טומיי קסטרא חיפה (קסטרא טומאיי בע"מ)</v>
      </c>
      <c r="F127">
        <v>449533</v>
      </c>
      <c r="G127">
        <v>45993</v>
      </c>
      <c r="H127" t="str">
        <v>אבוקדו</v>
      </c>
      <c r="I127">
        <v>10</v>
      </c>
      <c r="J127">
        <v>80</v>
      </c>
      <c r="K127">
        <v>800</v>
      </c>
    </row>
    <row r="128">
      <c r="D128" t="str">
        <v>70666</v>
      </c>
      <c r="E128" t="str">
        <v>מינה טומיי קסטרא חיפה (קסטרא טומאיי בע"מ)</v>
      </c>
      <c r="F128">
        <v>449650</v>
      </c>
      <c r="G128">
        <v>45995</v>
      </c>
      <c r="H128" t="str">
        <v>אבוקדו</v>
      </c>
      <c r="I128">
        <v>10</v>
      </c>
      <c r="J128">
        <v>160</v>
      </c>
      <c r="K128">
        <v>1600</v>
      </c>
    </row>
    <row r="129">
      <c r="D129" t="str">
        <v>70666</v>
      </c>
      <c r="E129" t="str">
        <v>מינה טומיי קסטרא חיפה (קסטרא טומאיי בע"מ)</v>
      </c>
      <c r="F129">
        <v>449832</v>
      </c>
      <c r="G129">
        <v>45998</v>
      </c>
      <c r="H129" t="str">
        <v>אבוקדו</v>
      </c>
      <c r="I129">
        <v>10</v>
      </c>
      <c r="J129">
        <v>80</v>
      </c>
      <c r="K129">
        <v>800</v>
      </c>
    </row>
    <row r="130">
      <c r="D130" t="str">
        <v>70666</v>
      </c>
      <c r="E130" t="str">
        <v>מינה טומיי קסטרא חיפה (קסטרא טומאיי בע"מ)</v>
      </c>
      <c r="F130">
        <v>449987</v>
      </c>
      <c r="G130">
        <v>46000</v>
      </c>
      <c r="H130" t="str">
        <v>אבוקדו</v>
      </c>
      <c r="I130">
        <v>10</v>
      </c>
      <c r="J130">
        <v>60</v>
      </c>
      <c r="K130">
        <v>600</v>
      </c>
    </row>
    <row r="131">
      <c r="D131" t="str">
        <v>70666</v>
      </c>
      <c r="E131" t="str">
        <v>מינה טומיי קסטרא חיפה (קסטרא טומאיי בע"מ)</v>
      </c>
      <c r="F131">
        <v>450145</v>
      </c>
      <c r="G131">
        <v>46002</v>
      </c>
      <c r="H131" t="str">
        <v>אבוקדו</v>
      </c>
      <c r="I131">
        <v>10</v>
      </c>
      <c r="J131">
        <v>120</v>
      </c>
      <c r="K131">
        <v>1200</v>
      </c>
    </row>
    <row r="132">
      <c r="D132" t="str">
        <v>70666</v>
      </c>
      <c r="E132" t="str">
        <v>מינה טומיי קסטרא חיפה (קסטרא טומאיי בע"מ)</v>
      </c>
      <c r="F132">
        <v>450322</v>
      </c>
      <c r="G132">
        <v>46005</v>
      </c>
      <c r="H132" t="str">
        <v>אבוקדו</v>
      </c>
      <c r="I132">
        <v>10</v>
      </c>
      <c r="J132">
        <v>70</v>
      </c>
      <c r="K132">
        <v>700</v>
      </c>
    </row>
    <row r="133">
      <c r="D133" t="str">
        <v>70666</v>
      </c>
      <c r="E133" t="str">
        <v>מינה טומיי קסטרא חיפה (קסטרא טומאיי בע"מ)</v>
      </c>
      <c r="F133">
        <v>450481</v>
      </c>
      <c r="G133">
        <v>46007</v>
      </c>
      <c r="H133" t="str">
        <v>אבוקדו</v>
      </c>
      <c r="I133">
        <v>10</v>
      </c>
      <c r="J133">
        <v>70</v>
      </c>
      <c r="K133">
        <v>700</v>
      </c>
    </row>
    <row r="134">
      <c r="D134" t="str">
        <v>70666</v>
      </c>
      <c r="E134" t="str">
        <v>מינה טומיי קסטרא חיפה (קסטרא טומאיי בע"מ)</v>
      </c>
      <c r="F134">
        <v>450653</v>
      </c>
      <c r="G134">
        <v>46009</v>
      </c>
      <c r="H134" t="str">
        <v>אבוקדו</v>
      </c>
      <c r="I134">
        <v>10</v>
      </c>
      <c r="J134">
        <v>160</v>
      </c>
      <c r="K134">
        <v>1600</v>
      </c>
    </row>
    <row r="135">
      <c r="D135" t="str">
        <v>70666</v>
      </c>
      <c r="E135" t="str">
        <v>מינה טומיי קסטרא חיפה (קסטרא טומאיי בע"מ)</v>
      </c>
      <c r="F135">
        <v>450836</v>
      </c>
      <c r="G135">
        <v>46012</v>
      </c>
      <c r="H135" t="str">
        <v>אבוקדו</v>
      </c>
      <c r="I135">
        <v>10</v>
      </c>
      <c r="J135">
        <v>100</v>
      </c>
      <c r="K135">
        <v>1000</v>
      </c>
    </row>
    <row r="136">
      <c r="D136" t="str">
        <v>70666</v>
      </c>
      <c r="E136" t="str">
        <v>מינה טומיי קסטרא חיפה (קסטרא טומאיי בע"מ)</v>
      </c>
      <c r="F136">
        <v>451033</v>
      </c>
      <c r="G136">
        <v>46014</v>
      </c>
      <c r="H136" t="str">
        <v>אבוקדו</v>
      </c>
      <c r="I136">
        <v>10</v>
      </c>
      <c r="J136">
        <v>60</v>
      </c>
      <c r="K136">
        <v>600</v>
      </c>
    </row>
    <row r="137">
      <c r="D137" t="str">
        <v>70666</v>
      </c>
      <c r="E137" t="str">
        <v>מינה טומיי קסטרא חיפה (קסטרא טומאיי בע"מ)</v>
      </c>
      <c r="F137">
        <v>451242</v>
      </c>
      <c r="G137">
        <v>46016</v>
      </c>
      <c r="H137" t="str">
        <v>אבוקדו</v>
      </c>
      <c r="I137">
        <v>10</v>
      </c>
      <c r="J137">
        <v>160</v>
      </c>
      <c r="K137">
        <v>1600</v>
      </c>
    </row>
    <row r="138">
      <c r="D138" t="str">
        <v>70666</v>
      </c>
      <c r="E138" t="str">
        <v>מינה טומיי קסטרא חיפה (קסטרא טומאיי בע"מ)</v>
      </c>
      <c r="F138">
        <v>451365</v>
      </c>
      <c r="G138">
        <v>46019</v>
      </c>
      <c r="H138" t="str">
        <v>אבוקדו</v>
      </c>
      <c r="I138">
        <v>10</v>
      </c>
      <c r="J138">
        <v>60</v>
      </c>
      <c r="K138">
        <v>600</v>
      </c>
    </row>
    <row r="139">
      <c r="D139" t="str">
        <v>70666</v>
      </c>
      <c r="E139" t="str">
        <v>מינה טומיי קסטרא חיפה (קסטרא טומאיי בע"מ)</v>
      </c>
      <c r="F139">
        <v>451591</v>
      </c>
      <c r="G139">
        <v>46021</v>
      </c>
      <c r="H139" t="str">
        <v>אבוקדו</v>
      </c>
      <c r="I139">
        <v>10</v>
      </c>
      <c r="J139">
        <v>100</v>
      </c>
      <c r="K139">
        <v>1000</v>
      </c>
    </row>
    <row r="140">
      <c r="J140">
        <f>SUM(J66:J139)</f>
        <v>4930</v>
      </c>
    </row>
    <row r="141">
      <c r="A141" t="str">
        <v>מינה שרונה בע"מ</v>
      </c>
      <c r="B141" t="str">
        <v>70717</v>
      </c>
      <c r="C141">
        <v>724</v>
      </c>
    </row>
    <row r="142">
      <c r="D142" t="str">
        <v>70717</v>
      </c>
      <c r="E142" t="str">
        <v>מינה שרונה בע"מ</v>
      </c>
      <c r="F142">
        <v>810771</v>
      </c>
      <c r="G142">
        <v>45935</v>
      </c>
      <c r="H142" t="str">
        <v>בטטה</v>
      </c>
      <c r="I142">
        <v>5</v>
      </c>
      <c r="J142">
        <v>10</v>
      </c>
      <c r="K142">
        <v>50</v>
      </c>
    </row>
    <row r="143">
      <c r="D143" t="str">
        <v>70717</v>
      </c>
      <c r="E143" t="str">
        <v>מינה שרונה בע"מ</v>
      </c>
      <c r="F143">
        <v>1793</v>
      </c>
      <c r="G143">
        <v>45942</v>
      </c>
      <c r="H143" t="str">
        <v>בטטה</v>
      </c>
      <c r="I143">
        <v>5</v>
      </c>
      <c r="J143">
        <v>10</v>
      </c>
      <c r="K143">
        <v>50</v>
      </c>
    </row>
    <row r="144">
      <c r="D144" t="str">
        <v>70717</v>
      </c>
      <c r="E144" t="str">
        <v>מינה שרונה בע"מ</v>
      </c>
      <c r="F144">
        <v>1954</v>
      </c>
      <c r="G144">
        <v>45946</v>
      </c>
      <c r="H144" t="str">
        <v>בטטה</v>
      </c>
      <c r="I144">
        <v>5</v>
      </c>
      <c r="J144">
        <v>10</v>
      </c>
      <c r="K144">
        <v>50</v>
      </c>
    </row>
    <row r="145">
      <c r="D145" t="str">
        <v>70717</v>
      </c>
      <c r="E145" t="str">
        <v>מינה שרונה בע"מ</v>
      </c>
      <c r="F145">
        <v>2393</v>
      </c>
      <c r="G145">
        <v>45951</v>
      </c>
      <c r="H145" t="str">
        <v>בטטה</v>
      </c>
      <c r="I145">
        <v>5</v>
      </c>
      <c r="J145">
        <v>10</v>
      </c>
      <c r="K145">
        <v>50</v>
      </c>
    </row>
    <row r="146">
      <c r="D146" t="str">
        <v>70717</v>
      </c>
      <c r="E146" t="str">
        <v>מינה שרונה בע"מ</v>
      </c>
      <c r="F146">
        <v>2491</v>
      </c>
      <c r="G146">
        <v>45953</v>
      </c>
      <c r="H146" t="str">
        <v>בטטה</v>
      </c>
      <c r="I146">
        <v>5</v>
      </c>
      <c r="J146">
        <v>10</v>
      </c>
      <c r="K146">
        <v>50</v>
      </c>
    </row>
    <row r="147">
      <c r="D147" t="str">
        <v>70717</v>
      </c>
      <c r="E147" t="str">
        <v>מינה שרונה בע"מ</v>
      </c>
      <c r="F147">
        <v>3086</v>
      </c>
      <c r="G147">
        <v>45960</v>
      </c>
      <c r="H147" t="str">
        <v>בטטה</v>
      </c>
      <c r="I147">
        <v>5</v>
      </c>
      <c r="J147">
        <v>10</v>
      </c>
      <c r="K147">
        <v>50</v>
      </c>
    </row>
    <row r="148">
      <c r="D148" t="str">
        <v>70717</v>
      </c>
      <c r="E148" t="str">
        <v>מינה שרונה בע"מ</v>
      </c>
      <c r="F148">
        <v>447613</v>
      </c>
      <c r="G148">
        <v>45967</v>
      </c>
      <c r="H148" t="str">
        <v>בטטה</v>
      </c>
      <c r="I148">
        <v>5</v>
      </c>
      <c r="J148">
        <v>10</v>
      </c>
      <c r="K148">
        <v>50</v>
      </c>
    </row>
    <row r="149">
      <c r="D149" t="str">
        <v>70717</v>
      </c>
      <c r="E149" t="str">
        <v>מינה שרונה בע"מ</v>
      </c>
      <c r="F149">
        <v>448141</v>
      </c>
      <c r="G149">
        <v>45974</v>
      </c>
      <c r="H149" t="str">
        <v>בטטה</v>
      </c>
      <c r="I149">
        <v>5</v>
      </c>
      <c r="J149">
        <v>10</v>
      </c>
      <c r="K149">
        <v>50</v>
      </c>
    </row>
    <row r="150">
      <c r="D150" t="str">
        <v>70717</v>
      </c>
      <c r="E150" t="str">
        <v>מינה שרונה בע"מ</v>
      </c>
      <c r="F150">
        <v>448280</v>
      </c>
      <c r="G150">
        <v>45975</v>
      </c>
      <c r="H150" t="str">
        <v>בטטה</v>
      </c>
      <c r="I150">
        <v>5</v>
      </c>
      <c r="J150">
        <v>10</v>
      </c>
      <c r="K150">
        <v>50</v>
      </c>
    </row>
    <row r="151">
      <c r="D151" t="str">
        <v>70717</v>
      </c>
      <c r="E151" t="str">
        <v>מינה שרונה בע"מ</v>
      </c>
      <c r="F151">
        <v>448649</v>
      </c>
      <c r="G151">
        <v>45981</v>
      </c>
      <c r="H151" t="str">
        <v>בטטה</v>
      </c>
      <c r="I151">
        <v>5</v>
      </c>
      <c r="J151">
        <v>10</v>
      </c>
      <c r="K151">
        <v>50</v>
      </c>
    </row>
    <row r="152">
      <c r="D152" t="str">
        <v>70717</v>
      </c>
      <c r="E152" t="str">
        <v>מינה שרונה בע"מ</v>
      </c>
      <c r="F152">
        <v>448866</v>
      </c>
      <c r="G152">
        <v>45984</v>
      </c>
      <c r="H152" t="str">
        <v>בטטה</v>
      </c>
      <c r="I152">
        <v>5</v>
      </c>
      <c r="J152">
        <v>10</v>
      </c>
      <c r="K152">
        <v>50</v>
      </c>
    </row>
    <row r="153">
      <c r="D153" t="str">
        <v>70717</v>
      </c>
      <c r="E153" t="str">
        <v>מינה שרונה בע"מ</v>
      </c>
      <c r="F153">
        <v>449273</v>
      </c>
      <c r="G153">
        <v>45989</v>
      </c>
      <c r="H153" t="str">
        <v>בטטה</v>
      </c>
      <c r="I153">
        <v>5</v>
      </c>
      <c r="J153">
        <v>10</v>
      </c>
      <c r="K153">
        <v>50</v>
      </c>
    </row>
    <row r="154">
      <c r="D154" t="str">
        <v>70717</v>
      </c>
      <c r="E154" t="str">
        <v>מינה שרונה בע"מ</v>
      </c>
      <c r="F154">
        <v>449771</v>
      </c>
      <c r="G154">
        <v>45996</v>
      </c>
      <c r="H154" t="str">
        <v>בטטה</v>
      </c>
      <c r="I154">
        <v>5</v>
      </c>
      <c r="J154">
        <v>10</v>
      </c>
      <c r="K154">
        <v>50</v>
      </c>
    </row>
    <row r="155">
      <c r="D155" t="str">
        <v>70717</v>
      </c>
      <c r="E155" t="str">
        <v>מינה שרונה בע"מ</v>
      </c>
      <c r="F155">
        <v>450047</v>
      </c>
      <c r="G155">
        <v>46000</v>
      </c>
      <c r="H155" t="str">
        <v>בטטה</v>
      </c>
      <c r="I155">
        <v>5</v>
      </c>
      <c r="J155">
        <v>10</v>
      </c>
      <c r="K155">
        <v>50</v>
      </c>
    </row>
    <row r="156">
      <c r="D156" t="str">
        <v>70717</v>
      </c>
      <c r="E156" t="str">
        <v>מינה שרונה בע"מ</v>
      </c>
      <c r="F156">
        <v>450181</v>
      </c>
      <c r="G156">
        <v>46002</v>
      </c>
      <c r="H156" t="str">
        <v>בטטה</v>
      </c>
      <c r="I156">
        <v>5</v>
      </c>
      <c r="J156">
        <v>10</v>
      </c>
      <c r="K156">
        <v>50</v>
      </c>
    </row>
    <row r="157">
      <c r="D157" t="str">
        <v>70717</v>
      </c>
      <c r="E157" t="str">
        <v>מינה שרונה בע"מ</v>
      </c>
      <c r="F157">
        <v>450724</v>
      </c>
      <c r="G157">
        <v>46009</v>
      </c>
      <c r="H157" t="str">
        <v>בטטה</v>
      </c>
      <c r="I157">
        <v>5</v>
      </c>
      <c r="J157">
        <v>10</v>
      </c>
      <c r="K157">
        <v>50</v>
      </c>
    </row>
    <row r="158">
      <c r="D158" t="str">
        <v>70717</v>
      </c>
      <c r="E158" t="str">
        <v>מינה שרונה בע"מ</v>
      </c>
      <c r="F158">
        <v>450873</v>
      </c>
      <c r="G158">
        <v>46012</v>
      </c>
      <c r="H158" t="str">
        <v>בטטה</v>
      </c>
      <c r="I158">
        <v>5</v>
      </c>
      <c r="J158">
        <v>10</v>
      </c>
      <c r="K158">
        <v>50</v>
      </c>
    </row>
    <row r="159">
      <c r="D159" t="str">
        <v>70717</v>
      </c>
      <c r="E159" t="str">
        <v>מינה שרונה בע"מ</v>
      </c>
      <c r="F159">
        <v>451206</v>
      </c>
      <c r="G159">
        <v>46016</v>
      </c>
      <c r="H159" t="str">
        <v>בטטה</v>
      </c>
      <c r="I159">
        <v>5</v>
      </c>
      <c r="J159">
        <v>10</v>
      </c>
      <c r="K159">
        <v>50</v>
      </c>
    </row>
    <row r="160">
      <c r="D160" t="str">
        <v>70717</v>
      </c>
      <c r="E160" t="str">
        <v>מינה שרונה בע"מ</v>
      </c>
      <c r="F160">
        <v>451541</v>
      </c>
      <c r="G160">
        <v>46021</v>
      </c>
      <c r="H160" t="str">
        <v>בטטה</v>
      </c>
      <c r="I160">
        <v>5</v>
      </c>
      <c r="J160">
        <v>10</v>
      </c>
      <c r="K160">
        <v>50</v>
      </c>
    </row>
    <row r="161">
      <c r="D161" t="str">
        <v>70717</v>
      </c>
      <c r="E161" t="str">
        <v>מינה שרונה בע"מ</v>
      </c>
      <c r="F161">
        <v>810644</v>
      </c>
      <c r="G161">
        <v>45933</v>
      </c>
      <c r="H161" t="str">
        <v>אבוקדו</v>
      </c>
      <c r="I161">
        <v>11.5</v>
      </c>
      <c r="J161">
        <v>40</v>
      </c>
      <c r="K161">
        <v>460</v>
      </c>
    </row>
    <row r="162">
      <c r="D162" t="str">
        <v>70717</v>
      </c>
      <c r="E162" t="str">
        <v>מינה שרונה בע"מ</v>
      </c>
      <c r="F162">
        <v>810771</v>
      </c>
      <c r="G162">
        <v>45935</v>
      </c>
      <c r="H162" t="str">
        <v>אבוקדו</v>
      </c>
      <c r="I162">
        <v>11.5</v>
      </c>
      <c r="J162">
        <v>60</v>
      </c>
      <c r="K162">
        <v>690</v>
      </c>
    </row>
    <row r="163">
      <c r="D163" t="str">
        <v>70717</v>
      </c>
      <c r="E163" t="str">
        <v>מינה שרונה בע"מ</v>
      </c>
      <c r="F163">
        <v>1793</v>
      </c>
      <c r="G163">
        <v>45942</v>
      </c>
      <c r="H163" t="str">
        <v>אבוקדו</v>
      </c>
      <c r="I163">
        <v>10</v>
      </c>
      <c r="J163">
        <v>30</v>
      </c>
      <c r="K163">
        <v>300</v>
      </c>
    </row>
    <row r="164">
      <c r="D164" t="str">
        <v>70717</v>
      </c>
      <c r="E164" t="str">
        <v>מינה שרונה בע"מ</v>
      </c>
      <c r="F164">
        <v>1954</v>
      </c>
      <c r="G164">
        <v>45946</v>
      </c>
      <c r="H164" t="str">
        <v>אבוקדו</v>
      </c>
      <c r="I164">
        <v>10</v>
      </c>
      <c r="J164">
        <v>40</v>
      </c>
      <c r="K164">
        <v>400</v>
      </c>
    </row>
    <row r="165">
      <c r="D165" t="str">
        <v>70717</v>
      </c>
      <c r="E165" t="str">
        <v>מינה שרונה בע"מ</v>
      </c>
      <c r="F165">
        <v>2182</v>
      </c>
      <c r="G165">
        <v>45949</v>
      </c>
      <c r="H165" t="str">
        <v>אבוקדו</v>
      </c>
      <c r="I165">
        <v>10</v>
      </c>
      <c r="J165">
        <v>20</v>
      </c>
      <c r="K165">
        <v>200</v>
      </c>
    </row>
    <row r="166">
      <c r="D166" t="str">
        <v>70717</v>
      </c>
      <c r="E166" t="str">
        <v>מינה שרונה בע"מ</v>
      </c>
      <c r="F166">
        <v>2393</v>
      </c>
      <c r="G166">
        <v>45951</v>
      </c>
      <c r="H166" t="str">
        <v>אבוקדו</v>
      </c>
      <c r="I166">
        <v>10</v>
      </c>
      <c r="J166">
        <v>20</v>
      </c>
      <c r="K166">
        <v>200</v>
      </c>
    </row>
    <row r="167">
      <c r="D167" t="str">
        <v>70717</v>
      </c>
      <c r="E167" t="str">
        <v>מינה שרונה בע"מ</v>
      </c>
      <c r="F167">
        <v>2491</v>
      </c>
      <c r="G167">
        <v>45953</v>
      </c>
      <c r="H167" t="str">
        <v>אבוקדו</v>
      </c>
      <c r="I167">
        <v>10</v>
      </c>
      <c r="J167">
        <v>50</v>
      </c>
      <c r="K167">
        <v>500</v>
      </c>
    </row>
    <row r="168">
      <c r="D168" t="str">
        <v>70717</v>
      </c>
      <c r="E168" t="str">
        <v>מינה שרונה בע"מ</v>
      </c>
      <c r="F168">
        <v>3086</v>
      </c>
      <c r="G168">
        <v>45960</v>
      </c>
      <c r="H168" t="str">
        <v>אבוקדו</v>
      </c>
      <c r="I168">
        <v>10</v>
      </c>
      <c r="J168">
        <v>40</v>
      </c>
      <c r="K168">
        <v>400</v>
      </c>
    </row>
    <row r="169">
      <c r="D169" t="str">
        <v>70717</v>
      </c>
      <c r="E169" t="str">
        <v>מינה שרונה בע"מ</v>
      </c>
      <c r="F169">
        <v>447415</v>
      </c>
      <c r="G169">
        <v>45964</v>
      </c>
      <c r="H169" t="str">
        <v>אבוקדו</v>
      </c>
      <c r="I169">
        <v>10</v>
      </c>
      <c r="J169">
        <v>20</v>
      </c>
      <c r="K169">
        <v>200</v>
      </c>
    </row>
    <row r="170">
      <c r="D170" t="str">
        <v>70717</v>
      </c>
      <c r="E170" t="str">
        <v>מינה שרונה בע"מ</v>
      </c>
      <c r="F170">
        <v>447613</v>
      </c>
      <c r="G170">
        <v>45967</v>
      </c>
      <c r="H170" t="str">
        <v>אבוקדו</v>
      </c>
      <c r="I170">
        <v>10</v>
      </c>
      <c r="J170">
        <v>60</v>
      </c>
      <c r="K170">
        <v>600</v>
      </c>
    </row>
    <row r="171">
      <c r="D171" t="str">
        <v>70717</v>
      </c>
      <c r="E171" t="str">
        <v>מינה שרונה בע"מ</v>
      </c>
      <c r="F171">
        <v>448141</v>
      </c>
      <c r="G171">
        <v>45974</v>
      </c>
      <c r="H171" t="str">
        <v>אבוקדו</v>
      </c>
      <c r="I171">
        <v>10</v>
      </c>
      <c r="J171">
        <v>60</v>
      </c>
      <c r="K171">
        <v>600</v>
      </c>
    </row>
    <row r="172">
      <c r="D172" t="str">
        <v>70717</v>
      </c>
      <c r="E172" t="str">
        <v>מינה שרונה בע"מ</v>
      </c>
      <c r="F172">
        <v>448280</v>
      </c>
      <c r="G172">
        <v>45975</v>
      </c>
      <c r="H172" t="str">
        <v>אבוקדו</v>
      </c>
      <c r="I172">
        <v>10</v>
      </c>
      <c r="J172">
        <v>20</v>
      </c>
      <c r="K172">
        <v>200</v>
      </c>
    </row>
    <row r="173">
      <c r="D173" t="str">
        <v>70717</v>
      </c>
      <c r="E173" t="str">
        <v>מינה שרונה בע"מ</v>
      </c>
      <c r="F173">
        <v>448649</v>
      </c>
      <c r="G173">
        <v>45981</v>
      </c>
      <c r="H173" t="str">
        <v>אבוקדו</v>
      </c>
      <c r="I173">
        <v>10</v>
      </c>
      <c r="J173">
        <v>40</v>
      </c>
      <c r="K173">
        <v>400</v>
      </c>
    </row>
    <row r="174">
      <c r="D174" t="str">
        <v>70717</v>
      </c>
      <c r="E174" t="str">
        <v>מינה שרונה בע"מ</v>
      </c>
      <c r="F174">
        <v>448866</v>
      </c>
      <c r="G174">
        <v>45984</v>
      </c>
      <c r="H174" t="str">
        <v>אבוקדו</v>
      </c>
      <c r="I174">
        <v>10</v>
      </c>
      <c r="J174">
        <v>20</v>
      </c>
      <c r="K174">
        <v>200</v>
      </c>
    </row>
    <row r="175">
      <c r="D175" t="str">
        <v>70717</v>
      </c>
      <c r="E175" t="str">
        <v>מינה שרונה בע"מ</v>
      </c>
      <c r="F175">
        <v>449273</v>
      </c>
      <c r="G175">
        <v>45989</v>
      </c>
      <c r="H175" t="str">
        <v>אבוקדו</v>
      </c>
      <c r="I175">
        <v>10</v>
      </c>
      <c r="J175">
        <v>40</v>
      </c>
      <c r="K175">
        <v>400</v>
      </c>
    </row>
    <row r="176">
      <c r="D176" t="str">
        <v>70717</v>
      </c>
      <c r="E176" t="str">
        <v>מינה שרונה בע"מ</v>
      </c>
      <c r="F176">
        <v>449361</v>
      </c>
      <c r="G176">
        <v>45991</v>
      </c>
      <c r="H176" t="str">
        <v>אבוקדו</v>
      </c>
      <c r="I176">
        <v>10</v>
      </c>
      <c r="J176">
        <v>20</v>
      </c>
      <c r="K176">
        <v>200</v>
      </c>
    </row>
    <row r="177">
      <c r="D177" t="str">
        <v>70717</v>
      </c>
      <c r="E177" t="str">
        <v>מינה שרונה בע"מ</v>
      </c>
      <c r="F177">
        <v>449771</v>
      </c>
      <c r="G177">
        <v>45996</v>
      </c>
      <c r="H177" t="str">
        <v>אבוקדו</v>
      </c>
      <c r="I177">
        <v>10</v>
      </c>
      <c r="J177">
        <v>40</v>
      </c>
      <c r="K177">
        <v>400</v>
      </c>
    </row>
    <row r="178">
      <c r="D178" t="str">
        <v>70717</v>
      </c>
      <c r="E178" t="str">
        <v>מינה שרונה בע"מ</v>
      </c>
      <c r="F178">
        <v>450047</v>
      </c>
      <c r="G178">
        <v>46000</v>
      </c>
      <c r="H178" t="str">
        <v>אבוקדו</v>
      </c>
      <c r="I178">
        <v>10</v>
      </c>
      <c r="J178">
        <v>20</v>
      </c>
      <c r="K178">
        <v>200</v>
      </c>
    </row>
    <row r="179">
      <c r="D179" t="str">
        <v>70717</v>
      </c>
      <c r="E179" t="str">
        <v>מינה שרונה בע"מ</v>
      </c>
      <c r="F179">
        <v>450181</v>
      </c>
      <c r="G179">
        <v>46002</v>
      </c>
      <c r="H179" t="str">
        <v>אבוקדו</v>
      </c>
      <c r="I179">
        <v>10</v>
      </c>
      <c r="J179">
        <v>40</v>
      </c>
      <c r="K179">
        <v>400</v>
      </c>
    </row>
    <row r="180">
      <c r="D180" t="str">
        <v>70717</v>
      </c>
      <c r="E180" t="str">
        <v>מינה שרונה בע"מ</v>
      </c>
      <c r="F180">
        <v>450352</v>
      </c>
      <c r="G180">
        <v>46005</v>
      </c>
      <c r="H180" t="str">
        <v>אבוקדו</v>
      </c>
      <c r="I180">
        <v>10</v>
      </c>
      <c r="J180">
        <v>20</v>
      </c>
      <c r="K180">
        <v>200</v>
      </c>
    </row>
    <row r="181">
      <c r="D181" t="str">
        <v>70717</v>
      </c>
      <c r="E181" t="str">
        <v>מינה שרונה בע"מ</v>
      </c>
      <c r="F181">
        <v>450724</v>
      </c>
      <c r="G181">
        <v>46009</v>
      </c>
      <c r="H181" t="str">
        <v>אבוקדו</v>
      </c>
      <c r="I181">
        <v>10</v>
      </c>
      <c r="J181">
        <v>40</v>
      </c>
      <c r="K181">
        <v>400</v>
      </c>
    </row>
    <row r="182">
      <c r="D182" t="str">
        <v>70717</v>
      </c>
      <c r="E182" t="str">
        <v>מינה שרונה בע"מ</v>
      </c>
      <c r="F182">
        <v>450873</v>
      </c>
      <c r="G182">
        <v>46012</v>
      </c>
      <c r="H182" t="str">
        <v>אבוקדו</v>
      </c>
      <c r="I182">
        <v>10</v>
      </c>
      <c r="J182">
        <v>20</v>
      </c>
      <c r="K182">
        <v>200</v>
      </c>
    </row>
    <row r="183">
      <c r="D183" t="str">
        <v>70717</v>
      </c>
      <c r="E183" t="str">
        <v>מינה שרונה בע"מ</v>
      </c>
      <c r="F183">
        <v>451206</v>
      </c>
      <c r="G183">
        <v>46016</v>
      </c>
      <c r="H183" t="str">
        <v>אבוקדו</v>
      </c>
      <c r="I183">
        <v>10</v>
      </c>
      <c r="J183">
        <v>60</v>
      </c>
      <c r="K183">
        <v>600</v>
      </c>
    </row>
    <row r="184">
      <c r="D184" t="str">
        <v>70717</v>
      </c>
      <c r="E184" t="str">
        <v>מינה שרונה בע"מ</v>
      </c>
      <c r="F184">
        <v>451541</v>
      </c>
      <c r="G184">
        <v>46021</v>
      </c>
      <c r="H184" t="str">
        <v>אבוקדו</v>
      </c>
      <c r="I184">
        <v>10</v>
      </c>
      <c r="J184">
        <v>30</v>
      </c>
      <c r="K184">
        <v>300</v>
      </c>
    </row>
    <row r="185">
      <c r="J185">
        <f>SUM(J142:J184)</f>
        <v>1040</v>
      </c>
    </row>
    <row r="186">
      <c r="A186" t="str">
        <v>מינה טומיי עין שמר</v>
      </c>
      <c r="B186" t="str">
        <v>70718</v>
      </c>
      <c r="C186">
        <v>724</v>
      </c>
    </row>
    <row r="187">
      <c r="D187" t="str">
        <v>70718</v>
      </c>
      <c r="E187" t="str">
        <v>מינה טומיי עין שמר</v>
      </c>
      <c r="F187">
        <v>810585</v>
      </c>
      <c r="G187">
        <v>45933</v>
      </c>
      <c r="H187" t="str">
        <v>בטטה</v>
      </c>
      <c r="I187">
        <v>5</v>
      </c>
      <c r="J187">
        <v>30</v>
      </c>
      <c r="K187">
        <v>150</v>
      </c>
    </row>
    <row r="188">
      <c r="D188" t="str">
        <v>70718</v>
      </c>
      <c r="E188" t="str">
        <v>מינה טומיי עין שמר</v>
      </c>
      <c r="F188">
        <v>810686</v>
      </c>
      <c r="G188">
        <v>45935</v>
      </c>
      <c r="H188" t="str">
        <v>בטטה</v>
      </c>
      <c r="I188">
        <v>5</v>
      </c>
      <c r="J188">
        <v>20</v>
      </c>
      <c r="K188">
        <v>100</v>
      </c>
    </row>
    <row r="189">
      <c r="D189" t="str">
        <v>70718</v>
      </c>
      <c r="E189" t="str">
        <v>מינה טומיי עין שמר</v>
      </c>
      <c r="F189">
        <v>1563</v>
      </c>
      <c r="G189">
        <v>45939</v>
      </c>
      <c r="H189" t="str">
        <v>בטטה</v>
      </c>
      <c r="I189">
        <v>5</v>
      </c>
      <c r="J189">
        <v>20</v>
      </c>
      <c r="K189">
        <v>100</v>
      </c>
    </row>
    <row r="190">
      <c r="D190" t="str">
        <v>70718</v>
      </c>
      <c r="E190" t="str">
        <v>מינה טומיי עין שמר</v>
      </c>
      <c r="F190">
        <v>1697</v>
      </c>
      <c r="G190">
        <v>45942</v>
      </c>
      <c r="H190" t="str">
        <v>בטטה</v>
      </c>
      <c r="I190">
        <v>5</v>
      </c>
      <c r="J190">
        <v>20</v>
      </c>
      <c r="K190">
        <v>100</v>
      </c>
    </row>
    <row r="191">
      <c r="D191" t="str">
        <v>70718</v>
      </c>
      <c r="E191" t="str">
        <v>מינה טומיי עין שמר</v>
      </c>
      <c r="F191">
        <v>2010</v>
      </c>
      <c r="G191">
        <v>45946</v>
      </c>
      <c r="H191" t="str">
        <v>בטטה</v>
      </c>
      <c r="I191">
        <v>5</v>
      </c>
      <c r="J191">
        <v>20</v>
      </c>
      <c r="K191">
        <v>100</v>
      </c>
    </row>
    <row r="192">
      <c r="D192" t="str">
        <v>70718</v>
      </c>
      <c r="E192" t="str">
        <v>מינה טומיי עין שמר</v>
      </c>
      <c r="F192">
        <v>2111</v>
      </c>
      <c r="G192">
        <v>45949</v>
      </c>
      <c r="H192" t="str">
        <v>בטטה</v>
      </c>
      <c r="I192">
        <v>5</v>
      </c>
      <c r="J192">
        <v>10</v>
      </c>
      <c r="K192">
        <v>50</v>
      </c>
    </row>
    <row r="193">
      <c r="D193" t="str">
        <v>70718</v>
      </c>
      <c r="E193" t="str">
        <v>מינה טומיי עין שמר</v>
      </c>
      <c r="F193">
        <v>2317</v>
      </c>
      <c r="G193">
        <v>45951</v>
      </c>
      <c r="H193" t="str">
        <v>בטטה</v>
      </c>
      <c r="I193">
        <v>5</v>
      </c>
      <c r="J193">
        <v>20</v>
      </c>
      <c r="K193">
        <v>100</v>
      </c>
    </row>
    <row r="194">
      <c r="D194" t="str">
        <v>70718</v>
      </c>
      <c r="E194" t="str">
        <v>מינה טומיי עין שמר</v>
      </c>
      <c r="F194">
        <v>2516</v>
      </c>
      <c r="G194">
        <v>45953</v>
      </c>
      <c r="H194" t="str">
        <v>בטטה</v>
      </c>
      <c r="I194">
        <v>5</v>
      </c>
      <c r="J194">
        <v>20</v>
      </c>
      <c r="K194">
        <v>100</v>
      </c>
    </row>
    <row r="195">
      <c r="D195" t="str">
        <v>70718</v>
      </c>
      <c r="E195" t="str">
        <v>מינה טומיי עין שמר</v>
      </c>
      <c r="F195">
        <v>2700</v>
      </c>
      <c r="G195">
        <v>45956</v>
      </c>
      <c r="H195" t="str">
        <v>בטטה</v>
      </c>
      <c r="I195">
        <v>5</v>
      </c>
      <c r="J195">
        <v>10</v>
      </c>
      <c r="K195">
        <v>50</v>
      </c>
    </row>
    <row r="196">
      <c r="D196" t="str">
        <v>70718</v>
      </c>
      <c r="E196" t="str">
        <v>מינה טומיי עין שמר</v>
      </c>
      <c r="F196">
        <v>2892</v>
      </c>
      <c r="G196">
        <v>45958</v>
      </c>
      <c r="H196" t="str">
        <v>בטטה</v>
      </c>
      <c r="I196">
        <v>5</v>
      </c>
      <c r="J196">
        <v>10</v>
      </c>
      <c r="K196">
        <v>50</v>
      </c>
    </row>
    <row r="197">
      <c r="D197" t="str">
        <v>70718</v>
      </c>
      <c r="E197" t="str">
        <v>מינה טומיי עין שמר</v>
      </c>
      <c r="F197">
        <v>3041</v>
      </c>
      <c r="G197">
        <v>45960</v>
      </c>
      <c r="H197" t="str">
        <v>בטטה</v>
      </c>
      <c r="I197">
        <v>5</v>
      </c>
      <c r="J197">
        <v>20</v>
      </c>
      <c r="K197">
        <v>100</v>
      </c>
    </row>
    <row r="198">
      <c r="D198" t="str">
        <v>70718</v>
      </c>
      <c r="E198" t="str">
        <v>מינה טומיי עין שמר</v>
      </c>
      <c r="F198">
        <v>9122</v>
      </c>
      <c r="G198">
        <v>45963</v>
      </c>
      <c r="H198" t="str">
        <v>בטטה</v>
      </c>
      <c r="I198">
        <v>5</v>
      </c>
      <c r="J198">
        <v>10</v>
      </c>
      <c r="K198">
        <v>50</v>
      </c>
    </row>
    <row r="199">
      <c r="D199" t="str">
        <v>70718</v>
      </c>
      <c r="E199" t="str">
        <v>מינה טומיי עין שמר</v>
      </c>
      <c r="F199">
        <v>447483</v>
      </c>
      <c r="G199">
        <v>45965</v>
      </c>
      <c r="H199" t="str">
        <v>בטטה</v>
      </c>
      <c r="I199">
        <v>5</v>
      </c>
      <c r="J199">
        <v>10</v>
      </c>
      <c r="K199">
        <v>50</v>
      </c>
    </row>
    <row r="200">
      <c r="D200" t="str">
        <v>70718</v>
      </c>
      <c r="E200" t="str">
        <v>מינה טומיי עין שמר</v>
      </c>
      <c r="F200">
        <v>447674</v>
      </c>
      <c r="G200">
        <v>45967</v>
      </c>
      <c r="H200" t="str">
        <v>בטטה</v>
      </c>
      <c r="I200">
        <v>5</v>
      </c>
      <c r="J200">
        <v>20</v>
      </c>
      <c r="K200">
        <v>100</v>
      </c>
    </row>
    <row r="201">
      <c r="D201" t="str">
        <v>70718</v>
      </c>
      <c r="E201" t="str">
        <v>מינה טומיי עין שמר</v>
      </c>
      <c r="F201">
        <v>447827</v>
      </c>
      <c r="G201">
        <v>45970</v>
      </c>
      <c r="H201" t="str">
        <v>בטטה</v>
      </c>
      <c r="I201">
        <v>5</v>
      </c>
      <c r="J201">
        <v>10</v>
      </c>
      <c r="K201">
        <v>50</v>
      </c>
    </row>
    <row r="202">
      <c r="D202" t="str">
        <v>70718</v>
      </c>
      <c r="E202" t="str">
        <v>מינה טומיי עין שמר</v>
      </c>
      <c r="F202">
        <v>447991</v>
      </c>
      <c r="G202">
        <v>45972</v>
      </c>
      <c r="H202" t="str">
        <v>בטטה</v>
      </c>
      <c r="I202">
        <v>5</v>
      </c>
      <c r="J202">
        <v>10</v>
      </c>
      <c r="K202">
        <v>50</v>
      </c>
    </row>
    <row r="203">
      <c r="D203" t="str">
        <v>70718</v>
      </c>
      <c r="E203" t="str">
        <v>מינה טומיי עין שמר</v>
      </c>
      <c r="F203">
        <v>448169</v>
      </c>
      <c r="G203">
        <v>45974</v>
      </c>
      <c r="H203" t="str">
        <v>בטטה</v>
      </c>
      <c r="I203">
        <v>5</v>
      </c>
      <c r="J203">
        <v>20</v>
      </c>
      <c r="K203">
        <v>100</v>
      </c>
    </row>
    <row r="204">
      <c r="D204" t="str">
        <v>70718</v>
      </c>
      <c r="E204" t="str">
        <v>מינה טומיי עין שמר</v>
      </c>
      <c r="F204">
        <v>448354</v>
      </c>
      <c r="G204">
        <v>45977</v>
      </c>
      <c r="H204" t="str">
        <v>בטטה</v>
      </c>
      <c r="I204">
        <v>5</v>
      </c>
      <c r="J204">
        <v>10</v>
      </c>
      <c r="K204">
        <v>50</v>
      </c>
    </row>
    <row r="205">
      <c r="D205" t="str">
        <v>70718</v>
      </c>
      <c r="E205" t="str">
        <v>מינה טומיי עין שמר</v>
      </c>
      <c r="F205">
        <v>448704</v>
      </c>
      <c r="G205">
        <v>45981</v>
      </c>
      <c r="H205" t="str">
        <v>בטטה</v>
      </c>
      <c r="I205">
        <v>5</v>
      </c>
      <c r="J205">
        <v>20</v>
      </c>
      <c r="K205">
        <v>100</v>
      </c>
    </row>
    <row r="206">
      <c r="D206" t="str">
        <v>70718</v>
      </c>
      <c r="E206" t="str">
        <v>מינה טומיי עין שמר</v>
      </c>
      <c r="F206">
        <v>448826</v>
      </c>
      <c r="G206">
        <v>45984</v>
      </c>
      <c r="H206" t="str">
        <v>בטטה</v>
      </c>
      <c r="I206">
        <v>5</v>
      </c>
      <c r="J206">
        <v>10</v>
      </c>
      <c r="K206">
        <v>50</v>
      </c>
    </row>
    <row r="207">
      <c r="D207" t="str">
        <v>70718</v>
      </c>
      <c r="E207" t="str">
        <v>מינה טומיי עין שמר</v>
      </c>
      <c r="F207">
        <v>449201</v>
      </c>
      <c r="G207">
        <v>45988</v>
      </c>
      <c r="H207" t="str">
        <v>בטטה</v>
      </c>
      <c r="I207">
        <v>5</v>
      </c>
      <c r="J207">
        <v>20</v>
      </c>
      <c r="K207">
        <v>100</v>
      </c>
    </row>
    <row r="208">
      <c r="D208" t="str">
        <v>70718</v>
      </c>
      <c r="E208" t="str">
        <v>מינה טומיי עין שמר</v>
      </c>
      <c r="F208">
        <v>449324</v>
      </c>
      <c r="G208">
        <v>45991</v>
      </c>
      <c r="H208" t="str">
        <v>בטטה</v>
      </c>
      <c r="I208">
        <v>5</v>
      </c>
      <c r="J208">
        <v>10</v>
      </c>
      <c r="K208">
        <v>50</v>
      </c>
    </row>
    <row r="209">
      <c r="D209" t="str">
        <v>70718</v>
      </c>
      <c r="E209" t="str">
        <v>מינה טומיי עין שמר</v>
      </c>
      <c r="F209">
        <v>449531</v>
      </c>
      <c r="G209">
        <v>45993</v>
      </c>
      <c r="H209" t="str">
        <v>בטטה</v>
      </c>
      <c r="I209">
        <v>5</v>
      </c>
      <c r="J209">
        <v>10</v>
      </c>
      <c r="K209">
        <v>50</v>
      </c>
    </row>
    <row r="210">
      <c r="D210" t="str">
        <v>70718</v>
      </c>
      <c r="E210" t="str">
        <v>מינה טומיי עין שמר</v>
      </c>
      <c r="F210">
        <v>449645</v>
      </c>
      <c r="G210">
        <v>45995</v>
      </c>
      <c r="H210" t="str">
        <v>בטטה</v>
      </c>
      <c r="I210">
        <v>5</v>
      </c>
      <c r="J210">
        <v>20</v>
      </c>
      <c r="K210">
        <v>100</v>
      </c>
    </row>
    <row r="211">
      <c r="D211" t="str">
        <v>70718</v>
      </c>
      <c r="E211" t="str">
        <v>מינה טומיי עין שמר</v>
      </c>
      <c r="F211">
        <v>449826</v>
      </c>
      <c r="G211">
        <v>45998</v>
      </c>
      <c r="H211" t="str">
        <v>בטטה</v>
      </c>
      <c r="I211">
        <v>5</v>
      </c>
      <c r="J211">
        <v>10</v>
      </c>
      <c r="K211">
        <v>50</v>
      </c>
    </row>
    <row r="212">
      <c r="D212" t="str">
        <v>70718</v>
      </c>
      <c r="E212" t="str">
        <v>מינה טומיי עין שמר</v>
      </c>
      <c r="F212">
        <v>449986</v>
      </c>
      <c r="G212">
        <v>46000</v>
      </c>
      <c r="H212" t="str">
        <v>בטטה</v>
      </c>
      <c r="I212">
        <v>5</v>
      </c>
      <c r="J212">
        <v>10</v>
      </c>
      <c r="K212">
        <v>50</v>
      </c>
    </row>
    <row r="213">
      <c r="D213" t="str">
        <v>70718</v>
      </c>
      <c r="E213" t="str">
        <v>מינה טומיי עין שמר</v>
      </c>
      <c r="F213">
        <v>450140</v>
      </c>
      <c r="G213">
        <v>46002</v>
      </c>
      <c r="H213" t="str">
        <v>בטטה</v>
      </c>
      <c r="I213">
        <v>5</v>
      </c>
      <c r="J213">
        <v>20</v>
      </c>
      <c r="K213">
        <v>100</v>
      </c>
    </row>
    <row r="214">
      <c r="D214" t="str">
        <v>70718</v>
      </c>
      <c r="E214" t="str">
        <v>מינה טומיי עין שמר</v>
      </c>
      <c r="F214">
        <v>450315</v>
      </c>
      <c r="G214">
        <v>46005</v>
      </c>
      <c r="H214" t="str">
        <v>בטטה</v>
      </c>
      <c r="I214">
        <v>5</v>
      </c>
      <c r="J214">
        <v>10</v>
      </c>
      <c r="K214">
        <v>50</v>
      </c>
    </row>
    <row r="215">
      <c r="D215" t="str">
        <v>70718</v>
      </c>
      <c r="E215" t="str">
        <v>מינה טומיי עין שמר</v>
      </c>
      <c r="F215">
        <v>450478</v>
      </c>
      <c r="G215">
        <v>46007</v>
      </c>
      <c r="H215" t="str">
        <v>בטטה</v>
      </c>
      <c r="I215">
        <v>5</v>
      </c>
      <c r="J215">
        <v>10</v>
      </c>
      <c r="K215">
        <v>50</v>
      </c>
    </row>
    <row r="216">
      <c r="D216" t="str">
        <v>70718</v>
      </c>
      <c r="E216" t="str">
        <v>מינה טומיי עין שמר</v>
      </c>
      <c r="F216">
        <v>450648</v>
      </c>
      <c r="G216">
        <v>46009</v>
      </c>
      <c r="H216" t="str">
        <v>בטטה</v>
      </c>
      <c r="I216">
        <v>5</v>
      </c>
      <c r="J216">
        <v>20</v>
      </c>
      <c r="K216">
        <v>100</v>
      </c>
    </row>
    <row r="217">
      <c r="D217" t="str">
        <v>70718</v>
      </c>
      <c r="E217" t="str">
        <v>מינה טומיי עין שמר</v>
      </c>
      <c r="F217">
        <v>450830</v>
      </c>
      <c r="G217">
        <v>46012</v>
      </c>
      <c r="H217" t="str">
        <v>בטטה</v>
      </c>
      <c r="I217">
        <v>5</v>
      </c>
      <c r="J217">
        <v>10</v>
      </c>
      <c r="K217">
        <v>50</v>
      </c>
    </row>
    <row r="218">
      <c r="D218" t="str">
        <v>70718</v>
      </c>
      <c r="E218" t="str">
        <v>מינה טומיי עין שמר</v>
      </c>
      <c r="F218">
        <v>451032</v>
      </c>
      <c r="G218">
        <v>46014</v>
      </c>
      <c r="H218" t="str">
        <v>בטטה</v>
      </c>
      <c r="I218">
        <v>5</v>
      </c>
      <c r="J218">
        <v>10</v>
      </c>
      <c r="K218">
        <v>50</v>
      </c>
    </row>
    <row r="219">
      <c r="D219" t="str">
        <v>70718</v>
      </c>
      <c r="E219" t="str">
        <v>מינה טומיי עין שמר</v>
      </c>
      <c r="F219">
        <v>451238</v>
      </c>
      <c r="G219">
        <v>46016</v>
      </c>
      <c r="H219" t="str">
        <v>בטטה</v>
      </c>
      <c r="I219">
        <v>5</v>
      </c>
      <c r="J219">
        <v>20</v>
      </c>
      <c r="K219">
        <v>100</v>
      </c>
    </row>
    <row r="220">
      <c r="D220" t="str">
        <v>70718</v>
      </c>
      <c r="E220" t="str">
        <v>מינה טומיי עין שמר</v>
      </c>
      <c r="F220">
        <v>451358</v>
      </c>
      <c r="G220">
        <v>46019</v>
      </c>
      <c r="H220" t="str">
        <v>בטטה</v>
      </c>
      <c r="I220">
        <v>5</v>
      </c>
      <c r="J220">
        <v>30</v>
      </c>
      <c r="K220">
        <v>150</v>
      </c>
    </row>
    <row r="221">
      <c r="D221" t="str">
        <v>70718</v>
      </c>
      <c r="E221" t="str">
        <v>מינה טומיי עין שמר</v>
      </c>
      <c r="F221">
        <v>451590</v>
      </c>
      <c r="G221">
        <v>46021</v>
      </c>
      <c r="H221" t="str">
        <v>בטטה</v>
      </c>
      <c r="I221">
        <v>5</v>
      </c>
      <c r="J221">
        <v>10</v>
      </c>
      <c r="K221">
        <v>50</v>
      </c>
    </row>
    <row r="222">
      <c r="D222" t="str">
        <v>70718</v>
      </c>
      <c r="E222" t="str">
        <v>מינה טומיי עין שמר</v>
      </c>
      <c r="F222">
        <v>810585</v>
      </c>
      <c r="G222">
        <v>45933</v>
      </c>
      <c r="H222" t="str">
        <v>אבוקדו</v>
      </c>
      <c r="I222">
        <v>11.5</v>
      </c>
      <c r="J222">
        <v>90</v>
      </c>
      <c r="K222">
        <v>1035</v>
      </c>
    </row>
    <row r="223">
      <c r="D223" t="str">
        <v>70718</v>
      </c>
      <c r="E223" t="str">
        <v>מינה טומיי עין שמר</v>
      </c>
      <c r="F223">
        <v>810686</v>
      </c>
      <c r="G223">
        <v>45935</v>
      </c>
      <c r="H223" t="str">
        <v>אבוקדו</v>
      </c>
      <c r="I223">
        <v>11.5</v>
      </c>
      <c r="J223">
        <v>80</v>
      </c>
      <c r="K223">
        <v>920</v>
      </c>
    </row>
    <row r="224">
      <c r="D224" t="str">
        <v>70718</v>
      </c>
      <c r="E224" t="str">
        <v>מינה טומיי עין שמר</v>
      </c>
      <c r="F224">
        <v>1563</v>
      </c>
      <c r="G224">
        <v>45939</v>
      </c>
      <c r="H224" t="str">
        <v>אבוקדו</v>
      </c>
      <c r="I224">
        <v>10</v>
      </c>
      <c r="J224">
        <v>90</v>
      </c>
      <c r="K224">
        <v>900</v>
      </c>
    </row>
    <row r="225">
      <c r="D225" t="str">
        <v>70718</v>
      </c>
      <c r="E225" t="str">
        <v>מינה טומיי עין שמר</v>
      </c>
      <c r="F225">
        <v>1697</v>
      </c>
      <c r="G225">
        <v>45942</v>
      </c>
      <c r="H225" t="str">
        <v>אבוקדו</v>
      </c>
      <c r="I225">
        <v>10</v>
      </c>
      <c r="J225">
        <v>90</v>
      </c>
      <c r="K225">
        <v>900</v>
      </c>
    </row>
    <row r="226">
      <c r="D226" t="str">
        <v>70718</v>
      </c>
      <c r="E226" t="str">
        <v>מינה טומיי עין שמר</v>
      </c>
      <c r="F226">
        <v>2010</v>
      </c>
      <c r="G226">
        <v>45946</v>
      </c>
      <c r="H226" t="str">
        <v>אבוקדו</v>
      </c>
      <c r="I226">
        <v>10</v>
      </c>
      <c r="J226">
        <v>100</v>
      </c>
      <c r="K226">
        <v>1000</v>
      </c>
    </row>
    <row r="227">
      <c r="D227" t="str">
        <v>70718</v>
      </c>
      <c r="E227" t="str">
        <v>מינה טומיי עין שמר</v>
      </c>
      <c r="F227">
        <v>2111</v>
      </c>
      <c r="G227">
        <v>45949</v>
      </c>
      <c r="H227" t="str">
        <v>אבוקדו</v>
      </c>
      <c r="I227">
        <v>10</v>
      </c>
      <c r="J227">
        <v>40</v>
      </c>
      <c r="K227">
        <v>400</v>
      </c>
    </row>
    <row r="228">
      <c r="D228" t="str">
        <v>70718</v>
      </c>
      <c r="E228" t="str">
        <v>מינה טומיי עין שמר</v>
      </c>
      <c r="F228">
        <v>2317</v>
      </c>
      <c r="G228">
        <v>45951</v>
      </c>
      <c r="H228" t="str">
        <v>אבוקדו</v>
      </c>
      <c r="I228">
        <v>10</v>
      </c>
      <c r="J228">
        <v>40</v>
      </c>
      <c r="K228">
        <v>400</v>
      </c>
    </row>
    <row r="229">
      <c r="D229" t="str">
        <v>70718</v>
      </c>
      <c r="E229" t="str">
        <v>מינה טומיי עין שמר</v>
      </c>
      <c r="F229">
        <v>2516</v>
      </c>
      <c r="G229">
        <v>45953</v>
      </c>
      <c r="H229" t="str">
        <v>אבוקדו</v>
      </c>
      <c r="I229">
        <v>10</v>
      </c>
      <c r="J229">
        <v>80</v>
      </c>
      <c r="K229">
        <v>800</v>
      </c>
    </row>
    <row r="230">
      <c r="D230" t="str">
        <v>70718</v>
      </c>
      <c r="E230" t="str">
        <v>מינה טומיי עין שמר</v>
      </c>
      <c r="F230">
        <v>2700</v>
      </c>
      <c r="G230">
        <v>45956</v>
      </c>
      <c r="H230" t="str">
        <v>אבוקדו</v>
      </c>
      <c r="I230">
        <v>10</v>
      </c>
      <c r="J230">
        <v>40</v>
      </c>
      <c r="K230">
        <v>400</v>
      </c>
    </row>
    <row r="231">
      <c r="D231" t="str">
        <v>70718</v>
      </c>
      <c r="E231" t="str">
        <v>מינה טומיי עין שמר</v>
      </c>
      <c r="F231">
        <v>2892</v>
      </c>
      <c r="G231">
        <v>45958</v>
      </c>
      <c r="H231" t="str">
        <v>אבוקדו</v>
      </c>
      <c r="I231">
        <v>10</v>
      </c>
      <c r="J231">
        <v>40</v>
      </c>
      <c r="K231">
        <v>400</v>
      </c>
    </row>
    <row r="232">
      <c r="D232" t="str">
        <v>70718</v>
      </c>
      <c r="E232" t="str">
        <v>מינה טומיי עין שמר</v>
      </c>
      <c r="F232">
        <v>3041</v>
      </c>
      <c r="G232">
        <v>45960</v>
      </c>
      <c r="H232" t="str">
        <v>אבוקדו</v>
      </c>
      <c r="I232">
        <v>10</v>
      </c>
      <c r="J232">
        <v>80</v>
      </c>
      <c r="K232">
        <v>800</v>
      </c>
    </row>
    <row r="233">
      <c r="D233" t="str">
        <v>70718</v>
      </c>
      <c r="E233" t="str">
        <v>מינה טומיי עין שמר</v>
      </c>
      <c r="F233">
        <v>9122</v>
      </c>
      <c r="G233">
        <v>45963</v>
      </c>
      <c r="H233" t="str">
        <v>אבוקדו</v>
      </c>
      <c r="I233">
        <v>10</v>
      </c>
      <c r="J233">
        <v>40</v>
      </c>
      <c r="K233">
        <v>400</v>
      </c>
    </row>
    <row r="234">
      <c r="D234" t="str">
        <v>70718</v>
      </c>
      <c r="E234" t="str">
        <v>מינה טומיי עין שמר</v>
      </c>
      <c r="F234">
        <v>447483</v>
      </c>
      <c r="G234">
        <v>45965</v>
      </c>
      <c r="H234" t="str">
        <v>אבוקדו</v>
      </c>
      <c r="I234">
        <v>10</v>
      </c>
      <c r="J234">
        <v>40</v>
      </c>
      <c r="K234">
        <v>400</v>
      </c>
    </row>
    <row r="235">
      <c r="D235" t="str">
        <v>70718</v>
      </c>
      <c r="E235" t="str">
        <v>מינה טומיי עין שמר</v>
      </c>
      <c r="F235">
        <v>447674</v>
      </c>
      <c r="G235">
        <v>45967</v>
      </c>
      <c r="H235" t="str">
        <v>אבוקדו</v>
      </c>
      <c r="I235">
        <v>10</v>
      </c>
      <c r="J235">
        <v>80</v>
      </c>
      <c r="K235">
        <v>800</v>
      </c>
    </row>
    <row r="236">
      <c r="D236" t="str">
        <v>70718</v>
      </c>
      <c r="E236" t="str">
        <v>מינה טומיי עין שמר</v>
      </c>
      <c r="F236">
        <v>447827</v>
      </c>
      <c r="G236">
        <v>45970</v>
      </c>
      <c r="H236" t="str">
        <v>אבוקדו</v>
      </c>
      <c r="I236">
        <v>10</v>
      </c>
      <c r="J236">
        <v>40</v>
      </c>
      <c r="K236">
        <v>400</v>
      </c>
    </row>
    <row r="237">
      <c r="D237" t="str">
        <v>70718</v>
      </c>
      <c r="E237" t="str">
        <v>מינה טומיי עין שמר</v>
      </c>
      <c r="F237">
        <v>447991</v>
      </c>
      <c r="G237">
        <v>45972</v>
      </c>
      <c r="H237" t="str">
        <v>אבוקדו</v>
      </c>
      <c r="I237">
        <v>10</v>
      </c>
      <c r="J237">
        <v>40</v>
      </c>
      <c r="K237">
        <v>400</v>
      </c>
    </row>
    <row r="238">
      <c r="D238" t="str">
        <v>70718</v>
      </c>
      <c r="E238" t="str">
        <v>מינה טומיי עין שמר</v>
      </c>
      <c r="F238">
        <v>448169</v>
      </c>
      <c r="G238">
        <v>45974</v>
      </c>
      <c r="H238" t="str">
        <v>אבוקדו</v>
      </c>
      <c r="I238">
        <v>10</v>
      </c>
      <c r="J238">
        <v>80</v>
      </c>
      <c r="K238">
        <v>800</v>
      </c>
    </row>
    <row r="239">
      <c r="D239" t="str">
        <v>70718</v>
      </c>
      <c r="E239" t="str">
        <v>מינה טומיי עין שמר</v>
      </c>
      <c r="F239">
        <v>448354</v>
      </c>
      <c r="G239">
        <v>45977</v>
      </c>
      <c r="H239" t="str">
        <v>אבוקדו</v>
      </c>
      <c r="I239">
        <v>10</v>
      </c>
      <c r="J239">
        <v>40</v>
      </c>
      <c r="K239">
        <v>400</v>
      </c>
    </row>
    <row r="240">
      <c r="D240" t="str">
        <v>70718</v>
      </c>
      <c r="E240" t="str">
        <v>מינה טומיי עין שמר</v>
      </c>
      <c r="F240">
        <v>448508</v>
      </c>
      <c r="G240">
        <v>45979</v>
      </c>
      <c r="H240" t="str">
        <v>אבוקדו</v>
      </c>
      <c r="I240">
        <v>10</v>
      </c>
      <c r="J240">
        <v>60</v>
      </c>
      <c r="K240">
        <v>600</v>
      </c>
    </row>
    <row r="241">
      <c r="D241" t="str">
        <v>70718</v>
      </c>
      <c r="E241" t="str">
        <v>מינה טומיי עין שמר</v>
      </c>
      <c r="F241">
        <v>448704</v>
      </c>
      <c r="G241">
        <v>45981</v>
      </c>
      <c r="H241" t="str">
        <v>אבוקדו</v>
      </c>
      <c r="I241">
        <v>10</v>
      </c>
      <c r="J241">
        <v>100</v>
      </c>
      <c r="K241">
        <v>1000</v>
      </c>
    </row>
    <row r="242">
      <c r="D242" t="str">
        <v>70718</v>
      </c>
      <c r="E242" t="str">
        <v>מינה טומיי עין שמר</v>
      </c>
      <c r="F242">
        <v>448826</v>
      </c>
      <c r="G242">
        <v>45984</v>
      </c>
      <c r="H242" t="str">
        <v>אבוקדו</v>
      </c>
      <c r="I242">
        <v>10</v>
      </c>
      <c r="J242">
        <v>40</v>
      </c>
      <c r="K242">
        <v>400</v>
      </c>
    </row>
    <row r="243">
      <c r="D243" t="str">
        <v>70718</v>
      </c>
      <c r="E243" t="str">
        <v>מינה טומיי עין שמר</v>
      </c>
      <c r="F243">
        <v>449034</v>
      </c>
      <c r="G243">
        <v>45986</v>
      </c>
      <c r="H243" t="str">
        <v>אבוקדו</v>
      </c>
      <c r="I243">
        <v>10</v>
      </c>
      <c r="J243">
        <v>40</v>
      </c>
      <c r="K243">
        <v>400</v>
      </c>
    </row>
    <row r="244">
      <c r="D244" t="str">
        <v>70718</v>
      </c>
      <c r="E244" t="str">
        <v>מינה טומיי עין שמר</v>
      </c>
      <c r="F244">
        <v>449201</v>
      </c>
      <c r="G244">
        <v>45988</v>
      </c>
      <c r="H244" t="str">
        <v>אבוקדו</v>
      </c>
      <c r="I244">
        <v>10</v>
      </c>
      <c r="J244">
        <v>80</v>
      </c>
      <c r="K244">
        <v>800</v>
      </c>
    </row>
    <row r="245">
      <c r="D245" t="str">
        <v>70718</v>
      </c>
      <c r="E245" t="str">
        <v>מינה טומיי עין שמר</v>
      </c>
      <c r="F245">
        <v>449324</v>
      </c>
      <c r="G245">
        <v>45991</v>
      </c>
      <c r="H245" t="str">
        <v>אבוקדו</v>
      </c>
      <c r="I245">
        <v>10</v>
      </c>
      <c r="J245">
        <v>40</v>
      </c>
      <c r="K245">
        <v>400</v>
      </c>
    </row>
    <row r="246">
      <c r="D246" t="str">
        <v>70718</v>
      </c>
      <c r="E246" t="str">
        <v>מינה טומיי עין שמר</v>
      </c>
      <c r="F246">
        <v>449531</v>
      </c>
      <c r="G246">
        <v>45993</v>
      </c>
      <c r="H246" t="str">
        <v>אבוקדו</v>
      </c>
      <c r="I246">
        <v>10</v>
      </c>
      <c r="J246">
        <v>40</v>
      </c>
      <c r="K246">
        <v>400</v>
      </c>
    </row>
    <row r="247">
      <c r="D247" t="str">
        <v>70718</v>
      </c>
      <c r="E247" t="str">
        <v>מינה טומיי עין שמר</v>
      </c>
      <c r="F247">
        <v>449645</v>
      </c>
      <c r="G247">
        <v>45995</v>
      </c>
      <c r="H247" t="str">
        <v>אבוקדו</v>
      </c>
      <c r="I247">
        <v>10</v>
      </c>
      <c r="J247">
        <v>80</v>
      </c>
      <c r="K247">
        <v>800</v>
      </c>
    </row>
    <row r="248">
      <c r="D248" t="str">
        <v>70718</v>
      </c>
      <c r="E248" t="str">
        <v>מינה טומיי עין שמר</v>
      </c>
      <c r="F248">
        <v>449826</v>
      </c>
      <c r="G248">
        <v>45998</v>
      </c>
      <c r="H248" t="str">
        <v>אבוקדו</v>
      </c>
      <c r="I248">
        <v>10</v>
      </c>
      <c r="J248">
        <v>40</v>
      </c>
      <c r="K248">
        <v>400</v>
      </c>
    </row>
    <row r="249">
      <c r="D249" t="str">
        <v>70718</v>
      </c>
      <c r="E249" t="str">
        <v>מינה טומיי עין שמר</v>
      </c>
      <c r="F249">
        <v>449986</v>
      </c>
      <c r="G249">
        <v>46000</v>
      </c>
      <c r="H249" t="str">
        <v>אבוקדו</v>
      </c>
      <c r="I249">
        <v>10</v>
      </c>
      <c r="J249">
        <v>40</v>
      </c>
      <c r="K249">
        <v>400</v>
      </c>
    </row>
    <row r="250">
      <c r="D250" t="str">
        <v>70718</v>
      </c>
      <c r="E250" t="str">
        <v>מינה טומיי עין שמר</v>
      </c>
      <c r="F250">
        <v>450140</v>
      </c>
      <c r="G250">
        <v>46002</v>
      </c>
      <c r="H250" t="str">
        <v>אבוקדו</v>
      </c>
      <c r="I250">
        <v>10</v>
      </c>
      <c r="J250">
        <v>80</v>
      </c>
      <c r="K250">
        <v>800</v>
      </c>
    </row>
    <row r="251">
      <c r="D251" t="str">
        <v>70718</v>
      </c>
      <c r="E251" t="str">
        <v>מינה טומיי עין שמר</v>
      </c>
      <c r="F251">
        <v>450315</v>
      </c>
      <c r="G251">
        <v>46005</v>
      </c>
      <c r="H251" t="str">
        <v>אבוקדו</v>
      </c>
      <c r="I251">
        <v>10</v>
      </c>
      <c r="J251">
        <v>40</v>
      </c>
      <c r="K251">
        <v>400</v>
      </c>
    </row>
    <row r="252">
      <c r="D252" t="str">
        <v>70718</v>
      </c>
      <c r="E252" t="str">
        <v>מינה טומיי עין שמר</v>
      </c>
      <c r="F252">
        <v>450478</v>
      </c>
      <c r="G252">
        <v>46007</v>
      </c>
      <c r="H252" t="str">
        <v>אבוקדו</v>
      </c>
      <c r="I252">
        <v>10</v>
      </c>
      <c r="J252">
        <v>30</v>
      </c>
      <c r="K252">
        <v>300</v>
      </c>
    </row>
    <row r="253">
      <c r="D253" t="str">
        <v>70718</v>
      </c>
      <c r="E253" t="str">
        <v>מינה טומיי עין שמר</v>
      </c>
      <c r="F253">
        <v>450648</v>
      </c>
      <c r="G253">
        <v>46009</v>
      </c>
      <c r="H253" t="str">
        <v>אבוקדו</v>
      </c>
      <c r="I253">
        <v>10</v>
      </c>
      <c r="J253">
        <v>100</v>
      </c>
      <c r="K253">
        <v>1000</v>
      </c>
    </row>
    <row r="254">
      <c r="D254" t="str">
        <v>70718</v>
      </c>
      <c r="E254" t="str">
        <v>מינה טומיי עין שמר</v>
      </c>
      <c r="F254">
        <v>450830</v>
      </c>
      <c r="G254">
        <v>46012</v>
      </c>
      <c r="H254" t="str">
        <v>אבוקדו</v>
      </c>
      <c r="I254">
        <v>10</v>
      </c>
      <c r="J254">
        <v>50</v>
      </c>
      <c r="K254">
        <v>500</v>
      </c>
    </row>
    <row r="255">
      <c r="D255" t="str">
        <v>70718</v>
      </c>
      <c r="E255" t="str">
        <v>מינה טומיי עין שמר</v>
      </c>
      <c r="F255">
        <v>451032</v>
      </c>
      <c r="G255">
        <v>46014</v>
      </c>
      <c r="H255" t="str">
        <v>אבוקדו</v>
      </c>
      <c r="I255">
        <v>10</v>
      </c>
      <c r="J255">
        <v>50</v>
      </c>
      <c r="K255">
        <v>500</v>
      </c>
    </row>
    <row r="256">
      <c r="D256" t="str">
        <v>70718</v>
      </c>
      <c r="E256" t="str">
        <v>מינה טומיי עין שמר</v>
      </c>
      <c r="F256">
        <v>451238</v>
      </c>
      <c r="G256">
        <v>46016</v>
      </c>
      <c r="H256" t="str">
        <v>אבוקדו</v>
      </c>
      <c r="I256">
        <v>10</v>
      </c>
      <c r="J256">
        <v>100</v>
      </c>
      <c r="K256">
        <v>1000</v>
      </c>
    </row>
    <row r="257">
      <c r="D257" t="str">
        <v>70718</v>
      </c>
      <c r="E257" t="str">
        <v>מינה טומיי עין שמר</v>
      </c>
      <c r="F257">
        <v>451358</v>
      </c>
      <c r="G257">
        <v>46019</v>
      </c>
      <c r="H257" t="str">
        <v>אבוקדו</v>
      </c>
      <c r="I257">
        <v>10</v>
      </c>
      <c r="J257">
        <v>40</v>
      </c>
      <c r="K257">
        <v>400</v>
      </c>
    </row>
    <row r="258">
      <c r="D258" t="str">
        <v>70718</v>
      </c>
      <c r="E258" t="str">
        <v>מינה טומיי עין שמר</v>
      </c>
      <c r="F258">
        <v>451590</v>
      </c>
      <c r="G258">
        <v>46021</v>
      </c>
      <c r="H258" t="str">
        <v>אבוקדו</v>
      </c>
      <c r="I258">
        <v>10</v>
      </c>
      <c r="J258">
        <v>60</v>
      </c>
      <c r="K258">
        <v>600</v>
      </c>
    </row>
    <row r="259">
      <c r="J259">
        <f>SUM(J187:J258)</f>
        <v>2780</v>
      </c>
    </row>
    <row r="260">
      <c r="A260" t="str">
        <v>מינה טומיי יהוד(אושיבה בע"מ)</v>
      </c>
      <c r="B260" t="str">
        <v>70883</v>
      </c>
      <c r="C260">
        <v>724</v>
      </c>
    </row>
    <row r="261">
      <c r="D261" t="str">
        <v>70883</v>
      </c>
      <c r="E261" t="str">
        <v>מינה טומיי יהוד(אושיבה בע"מ)</v>
      </c>
      <c r="F261">
        <v>810720</v>
      </c>
      <c r="G261">
        <v>45935</v>
      </c>
      <c r="H261" t="str">
        <v>בטטה</v>
      </c>
      <c r="I261">
        <v>5</v>
      </c>
      <c r="J261">
        <v>10</v>
      </c>
      <c r="K261">
        <v>50</v>
      </c>
    </row>
    <row r="262">
      <c r="D262" t="str">
        <v>70883</v>
      </c>
      <c r="E262" t="str">
        <v>מינה טומיי יהוד(אושיבה בע"מ)</v>
      </c>
      <c r="F262">
        <v>1731</v>
      </c>
      <c r="G262">
        <v>45942</v>
      </c>
      <c r="H262" t="str">
        <v>בטטה</v>
      </c>
      <c r="I262">
        <v>5</v>
      </c>
      <c r="J262">
        <v>20</v>
      </c>
      <c r="K262">
        <v>100</v>
      </c>
    </row>
    <row r="263">
      <c r="D263" t="str">
        <v>70883</v>
      </c>
      <c r="E263" t="str">
        <v>מינה טומיי יהוד(אושיבה בע"מ)</v>
      </c>
      <c r="F263">
        <v>1965</v>
      </c>
      <c r="G263">
        <v>45946</v>
      </c>
      <c r="H263" t="str">
        <v>בטטה</v>
      </c>
      <c r="I263">
        <v>5</v>
      </c>
      <c r="J263">
        <v>10</v>
      </c>
      <c r="K263">
        <v>50</v>
      </c>
    </row>
    <row r="264">
      <c r="D264" t="str">
        <v>70883</v>
      </c>
      <c r="E264" t="str">
        <v>מינה טומיי יהוד(אושיבה בע"מ)</v>
      </c>
      <c r="F264">
        <v>2365</v>
      </c>
      <c r="G264">
        <v>45951</v>
      </c>
      <c r="H264" t="str">
        <v>בטטה</v>
      </c>
      <c r="I264">
        <v>5</v>
      </c>
      <c r="J264">
        <v>10</v>
      </c>
      <c r="K264">
        <v>50</v>
      </c>
    </row>
    <row r="265">
      <c r="D265" t="str">
        <v>70883</v>
      </c>
      <c r="E265" t="str">
        <v>מינה טומיי יהוד(אושיבה בע"מ)</v>
      </c>
      <c r="F265">
        <v>2831</v>
      </c>
      <c r="G265">
        <v>45958</v>
      </c>
      <c r="H265" t="str">
        <v>בטטה</v>
      </c>
      <c r="I265">
        <v>5</v>
      </c>
      <c r="J265">
        <v>20</v>
      </c>
      <c r="K265">
        <v>100</v>
      </c>
    </row>
    <row r="266">
      <c r="D266" t="str">
        <v>70883</v>
      </c>
      <c r="E266" t="str">
        <v>מינה טומיי יהוד(אושיבה בע"מ)</v>
      </c>
      <c r="F266">
        <v>447446</v>
      </c>
      <c r="G266">
        <v>45965</v>
      </c>
      <c r="H266" t="str">
        <v>בטטה</v>
      </c>
      <c r="I266">
        <v>5</v>
      </c>
      <c r="J266">
        <v>10</v>
      </c>
      <c r="K266">
        <v>50</v>
      </c>
    </row>
    <row r="267">
      <c r="D267" t="str">
        <v>70883</v>
      </c>
      <c r="E267" t="str">
        <v>מינה טומיי יהוד(אושיבה בע"מ)</v>
      </c>
      <c r="F267">
        <v>447587</v>
      </c>
      <c r="G267">
        <v>45966</v>
      </c>
      <c r="H267" t="str">
        <v>בטטה</v>
      </c>
      <c r="I267">
        <v>5</v>
      </c>
      <c r="J267">
        <v>-10</v>
      </c>
      <c r="K267">
        <v>-50</v>
      </c>
    </row>
    <row r="268">
      <c r="D268" t="str">
        <v>70883</v>
      </c>
      <c r="E268" t="str">
        <v>מינה טומיי יהוד(אושיבה בע"מ)</v>
      </c>
      <c r="F268">
        <v>447629</v>
      </c>
      <c r="G268">
        <v>45967</v>
      </c>
      <c r="H268" t="str">
        <v>בטטה</v>
      </c>
      <c r="I268">
        <v>5</v>
      </c>
      <c r="J268">
        <v>20</v>
      </c>
      <c r="K268">
        <v>100</v>
      </c>
    </row>
    <row r="269">
      <c r="D269" t="str">
        <v>70883</v>
      </c>
      <c r="E269" t="str">
        <v>מינה טומיי יהוד(אושיבה בע"מ)</v>
      </c>
      <c r="F269">
        <v>447954</v>
      </c>
      <c r="G269">
        <v>45972</v>
      </c>
      <c r="H269" t="str">
        <v>בטטה</v>
      </c>
      <c r="I269">
        <v>5</v>
      </c>
      <c r="J269">
        <v>20</v>
      </c>
      <c r="K269">
        <v>100</v>
      </c>
    </row>
    <row r="270">
      <c r="D270" t="str">
        <v>70883</v>
      </c>
      <c r="E270" t="str">
        <v>מינה טומיי יהוד(אושיבה בע"מ)</v>
      </c>
      <c r="F270">
        <v>448319</v>
      </c>
      <c r="G270">
        <v>45977</v>
      </c>
      <c r="H270" t="str">
        <v>בטטה</v>
      </c>
      <c r="I270">
        <v>5</v>
      </c>
      <c r="J270">
        <v>10</v>
      </c>
      <c r="K270">
        <v>50</v>
      </c>
    </row>
    <row r="271">
      <c r="D271" t="str">
        <v>70883</v>
      </c>
      <c r="E271" t="str">
        <v>מינה טומיי יהוד(אושיבה בע"מ)</v>
      </c>
      <c r="F271">
        <v>448666</v>
      </c>
      <c r="G271">
        <v>45981</v>
      </c>
      <c r="H271" t="str">
        <v>בטטה</v>
      </c>
      <c r="I271">
        <v>5</v>
      </c>
      <c r="J271">
        <v>10</v>
      </c>
      <c r="K271">
        <v>50</v>
      </c>
    </row>
    <row r="272">
      <c r="D272" t="str">
        <v>70883</v>
      </c>
      <c r="E272" t="str">
        <v>מינה טומיי יהוד(אושיבה בע"מ)</v>
      </c>
      <c r="F272">
        <v>448967</v>
      </c>
      <c r="G272">
        <v>45986</v>
      </c>
      <c r="H272" t="str">
        <v>בטטה</v>
      </c>
      <c r="I272">
        <v>5</v>
      </c>
      <c r="J272">
        <v>20</v>
      </c>
      <c r="K272">
        <v>100</v>
      </c>
    </row>
    <row r="273">
      <c r="D273" t="str">
        <v>70883</v>
      </c>
      <c r="E273" t="str">
        <v>מינה טומיי יהוד(אושיבה בע"מ)</v>
      </c>
      <c r="F273">
        <v>449283</v>
      </c>
      <c r="G273">
        <v>45991</v>
      </c>
      <c r="H273" t="str">
        <v>בטטה</v>
      </c>
      <c r="I273">
        <v>5</v>
      </c>
      <c r="J273">
        <v>10</v>
      </c>
      <c r="K273">
        <v>50</v>
      </c>
    </row>
    <row r="274">
      <c r="D274" t="str">
        <v>70883</v>
      </c>
      <c r="E274" t="str">
        <v>מינה טומיי יהוד(אושיבה בע"מ)</v>
      </c>
      <c r="F274">
        <v>449464</v>
      </c>
      <c r="G274">
        <v>45993</v>
      </c>
      <c r="H274" t="str">
        <v>בטטה</v>
      </c>
      <c r="I274">
        <v>5</v>
      </c>
      <c r="J274">
        <v>10</v>
      </c>
      <c r="K274">
        <v>50</v>
      </c>
    </row>
    <row r="275">
      <c r="D275" t="str">
        <v>70883</v>
      </c>
      <c r="E275" t="str">
        <v>מינה טומיי יהוד(אושיבה בע"מ)</v>
      </c>
      <c r="F275">
        <v>449677</v>
      </c>
      <c r="G275">
        <v>45995</v>
      </c>
      <c r="H275" t="str">
        <v>בטטה</v>
      </c>
      <c r="I275">
        <v>5</v>
      </c>
      <c r="J275">
        <v>30</v>
      </c>
      <c r="K275">
        <v>150</v>
      </c>
    </row>
    <row r="276">
      <c r="D276" t="str">
        <v>70883</v>
      </c>
      <c r="E276" t="str">
        <v>מינה טומיי יהוד(אושיבה בע"מ)</v>
      </c>
      <c r="F276">
        <v>450003</v>
      </c>
      <c r="G276">
        <v>46000</v>
      </c>
      <c r="H276" t="str">
        <v>בטטה</v>
      </c>
      <c r="I276">
        <v>5</v>
      </c>
      <c r="J276">
        <v>10</v>
      </c>
      <c r="K276">
        <v>50</v>
      </c>
    </row>
    <row r="277">
      <c r="D277" t="str">
        <v>70883</v>
      </c>
      <c r="E277" t="str">
        <v>מינה טומיי יהוד(אושיבה בע"מ)</v>
      </c>
      <c r="F277">
        <v>450191</v>
      </c>
      <c r="G277">
        <v>46002</v>
      </c>
      <c r="H277" t="str">
        <v>בטטה</v>
      </c>
      <c r="I277">
        <v>5</v>
      </c>
      <c r="J277">
        <v>10</v>
      </c>
      <c r="K277">
        <v>50</v>
      </c>
    </row>
    <row r="278">
      <c r="D278" t="str">
        <v>70883</v>
      </c>
      <c r="E278" t="str">
        <v>מינה טומיי יהוד(אושיבה בע"מ)</v>
      </c>
      <c r="F278">
        <v>450272</v>
      </c>
      <c r="G278">
        <v>46005</v>
      </c>
      <c r="H278" t="str">
        <v>בטטה</v>
      </c>
      <c r="I278">
        <v>5</v>
      </c>
      <c r="J278">
        <v>10</v>
      </c>
      <c r="K278">
        <v>50</v>
      </c>
    </row>
    <row r="279">
      <c r="D279" t="str">
        <v>70883</v>
      </c>
      <c r="E279" t="str">
        <v>מינה טומיי יהוד(אושיבה בע"מ)</v>
      </c>
      <c r="F279">
        <v>450676</v>
      </c>
      <c r="G279">
        <v>46009</v>
      </c>
      <c r="H279" t="str">
        <v>בטטה</v>
      </c>
      <c r="I279">
        <v>5</v>
      </c>
      <c r="J279">
        <v>20</v>
      </c>
      <c r="K279">
        <v>100</v>
      </c>
    </row>
    <row r="280">
      <c r="D280" t="str">
        <v>70883</v>
      </c>
      <c r="E280" t="str">
        <v>מינה טומיי יהוד(אושיבה בע"מ)</v>
      </c>
      <c r="F280">
        <v>450990</v>
      </c>
      <c r="G280">
        <v>46014</v>
      </c>
      <c r="H280" t="str">
        <v>בטטה</v>
      </c>
      <c r="I280">
        <v>5</v>
      </c>
      <c r="J280">
        <v>20</v>
      </c>
      <c r="K280">
        <v>100</v>
      </c>
    </row>
    <row r="281">
      <c r="D281" t="str">
        <v>70883</v>
      </c>
      <c r="E281" t="str">
        <v>מינה טומיי יהוד(אושיבה בע"מ)</v>
      </c>
      <c r="F281">
        <v>451156</v>
      </c>
      <c r="G281">
        <v>46016</v>
      </c>
      <c r="H281" t="str">
        <v>בטטה</v>
      </c>
      <c r="I281">
        <v>5</v>
      </c>
      <c r="J281">
        <v>10</v>
      </c>
      <c r="K281">
        <v>50</v>
      </c>
    </row>
    <row r="282">
      <c r="D282" t="str">
        <v>70883</v>
      </c>
      <c r="E282" t="str">
        <v>מינה טומיי יהוד(אושיבה בע"מ)</v>
      </c>
      <c r="F282">
        <v>451550</v>
      </c>
      <c r="G282">
        <v>46021</v>
      </c>
      <c r="H282" t="str">
        <v>בטטה</v>
      </c>
      <c r="I282">
        <v>5</v>
      </c>
      <c r="J282">
        <v>20</v>
      </c>
      <c r="K282">
        <v>100</v>
      </c>
    </row>
    <row r="283">
      <c r="D283" t="str">
        <v>70883</v>
      </c>
      <c r="E283" t="str">
        <v>מינה טומיי יהוד(אושיבה בע"מ)</v>
      </c>
      <c r="F283">
        <v>810605</v>
      </c>
      <c r="G283">
        <v>45933</v>
      </c>
      <c r="H283" t="str">
        <v>אבוקדו</v>
      </c>
      <c r="I283">
        <v>11.5</v>
      </c>
      <c r="J283">
        <v>20</v>
      </c>
      <c r="K283">
        <v>230</v>
      </c>
    </row>
    <row r="284">
      <c r="D284" t="str">
        <v>70883</v>
      </c>
      <c r="E284" t="str">
        <v>מינה טומיי יהוד(אושיבה בע"מ)</v>
      </c>
      <c r="F284">
        <v>810720</v>
      </c>
      <c r="G284">
        <v>45935</v>
      </c>
      <c r="H284" t="str">
        <v>אבוקדו</v>
      </c>
      <c r="I284">
        <v>11.5</v>
      </c>
      <c r="J284">
        <v>20</v>
      </c>
      <c r="K284">
        <v>230</v>
      </c>
    </row>
    <row r="285">
      <c r="D285" t="str">
        <v>70883</v>
      </c>
      <c r="E285" t="str">
        <v>מינה טומיי יהוד(אושיבה בע"מ)</v>
      </c>
      <c r="F285">
        <v>1517</v>
      </c>
      <c r="G285">
        <v>45939</v>
      </c>
      <c r="H285" t="str">
        <v>אבוקדו</v>
      </c>
      <c r="I285">
        <v>10</v>
      </c>
      <c r="J285">
        <v>30</v>
      </c>
      <c r="K285">
        <v>300</v>
      </c>
    </row>
    <row r="286">
      <c r="D286" t="str">
        <v>70883</v>
      </c>
      <c r="E286" t="str">
        <v>מינה טומיי יהוד(אושיבה בע"מ)</v>
      </c>
      <c r="F286">
        <v>1731</v>
      </c>
      <c r="G286">
        <v>45942</v>
      </c>
      <c r="H286" t="str">
        <v>אבוקדו</v>
      </c>
      <c r="I286">
        <v>10</v>
      </c>
      <c r="J286">
        <v>30</v>
      </c>
      <c r="K286">
        <v>300</v>
      </c>
    </row>
    <row r="287">
      <c r="D287" t="str">
        <v>70883</v>
      </c>
      <c r="E287" t="str">
        <v>מינה טומיי יהוד(אושיבה בע"מ)</v>
      </c>
      <c r="F287">
        <v>1965</v>
      </c>
      <c r="G287">
        <v>45946</v>
      </c>
      <c r="H287" t="str">
        <v>אבוקדו</v>
      </c>
      <c r="I287">
        <v>10</v>
      </c>
      <c r="J287">
        <v>30</v>
      </c>
      <c r="K287">
        <v>300</v>
      </c>
    </row>
    <row r="288">
      <c r="D288" t="str">
        <v>70883</v>
      </c>
      <c r="E288" t="str">
        <v>מינה טומיי יהוד(אושיבה בע"מ)</v>
      </c>
      <c r="F288">
        <v>2136</v>
      </c>
      <c r="G288">
        <v>45949</v>
      </c>
      <c r="H288" t="str">
        <v>אבוקדו</v>
      </c>
      <c r="I288">
        <v>10</v>
      </c>
      <c r="J288">
        <v>30</v>
      </c>
      <c r="K288">
        <v>300</v>
      </c>
    </row>
    <row r="289">
      <c r="D289" t="str">
        <v>70883</v>
      </c>
      <c r="E289" t="str">
        <v>מינה טומיי יהוד(אושיבה בע"מ)</v>
      </c>
      <c r="F289">
        <v>2365</v>
      </c>
      <c r="G289">
        <v>45951</v>
      </c>
      <c r="H289" t="str">
        <v>אבוקדו</v>
      </c>
      <c r="I289">
        <v>10</v>
      </c>
      <c r="J289">
        <v>30</v>
      </c>
      <c r="K289">
        <v>300</v>
      </c>
    </row>
    <row r="290">
      <c r="D290" t="str">
        <v>70883</v>
      </c>
      <c r="E290" t="str">
        <v>מינה טומיי יהוד(אושיבה בע"מ)</v>
      </c>
      <c r="F290">
        <v>2549</v>
      </c>
      <c r="G290">
        <v>45953</v>
      </c>
      <c r="H290" t="str">
        <v>אבוקדו</v>
      </c>
      <c r="I290">
        <v>10</v>
      </c>
      <c r="J290">
        <v>30</v>
      </c>
      <c r="K290">
        <v>300</v>
      </c>
    </row>
    <row r="291">
      <c r="D291" t="str">
        <v>70883</v>
      </c>
      <c r="E291" t="str">
        <v>מינה טומיי יהוד(אושיבה בע"מ)</v>
      </c>
      <c r="F291">
        <v>2831</v>
      </c>
      <c r="G291">
        <v>45958</v>
      </c>
      <c r="H291" t="str">
        <v>אבוקדו</v>
      </c>
      <c r="I291">
        <v>10</v>
      </c>
      <c r="J291">
        <v>30</v>
      </c>
      <c r="K291">
        <v>300</v>
      </c>
    </row>
    <row r="292">
      <c r="D292" t="str">
        <v>70883</v>
      </c>
      <c r="E292" t="str">
        <v>מינה טומיי יהוד(אושיבה בע"מ)</v>
      </c>
      <c r="F292">
        <v>2996</v>
      </c>
      <c r="G292">
        <v>45960</v>
      </c>
      <c r="H292" t="str">
        <v>אבוקדו</v>
      </c>
      <c r="I292">
        <v>10</v>
      </c>
      <c r="J292">
        <v>20</v>
      </c>
      <c r="K292">
        <v>200</v>
      </c>
    </row>
    <row r="293">
      <c r="D293" t="str">
        <v>70883</v>
      </c>
      <c r="E293" t="str">
        <v>מינה טומיי יהוד(אושיבה בע"מ)</v>
      </c>
      <c r="F293">
        <v>9082</v>
      </c>
      <c r="G293">
        <v>45963</v>
      </c>
      <c r="H293" t="str">
        <v>אבוקדו</v>
      </c>
      <c r="I293">
        <v>10</v>
      </c>
      <c r="J293">
        <v>20</v>
      </c>
      <c r="K293">
        <v>200</v>
      </c>
    </row>
    <row r="294">
      <c r="D294" t="str">
        <v>70883</v>
      </c>
      <c r="E294" t="str">
        <v>מינה טומיי יהוד(אושיבה בע"מ)</v>
      </c>
      <c r="F294">
        <v>447446</v>
      </c>
      <c r="G294">
        <v>45965</v>
      </c>
      <c r="H294" t="str">
        <v>אבוקדו</v>
      </c>
      <c r="I294">
        <v>10</v>
      </c>
      <c r="J294">
        <v>30</v>
      </c>
      <c r="K294">
        <v>300</v>
      </c>
    </row>
    <row r="295">
      <c r="D295" t="str">
        <v>70883</v>
      </c>
      <c r="E295" t="str">
        <v>מינה טומיי יהוד(אושיבה בע"מ)</v>
      </c>
      <c r="F295">
        <v>447629</v>
      </c>
      <c r="G295">
        <v>45967</v>
      </c>
      <c r="H295" t="str">
        <v>אבוקדו</v>
      </c>
      <c r="I295">
        <v>10</v>
      </c>
      <c r="J295">
        <v>30</v>
      </c>
      <c r="K295">
        <v>300</v>
      </c>
    </row>
    <row r="296">
      <c r="D296" t="str">
        <v>70883</v>
      </c>
      <c r="E296" t="str">
        <v>מינה טומיי יהוד(אושיבה בע"מ)</v>
      </c>
      <c r="F296">
        <v>447794</v>
      </c>
      <c r="G296">
        <v>45970</v>
      </c>
      <c r="H296" t="str">
        <v>אבוקדו</v>
      </c>
      <c r="I296">
        <v>10</v>
      </c>
      <c r="J296">
        <v>20</v>
      </c>
      <c r="K296">
        <v>200</v>
      </c>
    </row>
    <row r="297">
      <c r="D297" t="str">
        <v>70883</v>
      </c>
      <c r="E297" t="str">
        <v>מינה טומיי יהוד(אושיבה בע"מ)</v>
      </c>
      <c r="F297">
        <v>447954</v>
      </c>
      <c r="G297">
        <v>45972</v>
      </c>
      <c r="H297" t="str">
        <v>אבוקדו</v>
      </c>
      <c r="I297">
        <v>10</v>
      </c>
      <c r="J297">
        <v>30</v>
      </c>
      <c r="K297">
        <v>300</v>
      </c>
    </row>
    <row r="298">
      <c r="D298" t="str">
        <v>70883</v>
      </c>
      <c r="E298" t="str">
        <v>מינה טומיי יהוד(אושיבה בע"מ)</v>
      </c>
      <c r="F298">
        <v>448204</v>
      </c>
      <c r="G298">
        <v>45974</v>
      </c>
      <c r="H298" t="str">
        <v>אבוקדו</v>
      </c>
      <c r="I298">
        <v>10</v>
      </c>
      <c r="J298">
        <v>30</v>
      </c>
      <c r="K298">
        <v>300</v>
      </c>
    </row>
    <row r="299">
      <c r="D299" t="str">
        <v>70883</v>
      </c>
      <c r="E299" t="str">
        <v>מינה טומיי יהוד(אושיבה בע"מ)</v>
      </c>
      <c r="F299">
        <v>448319</v>
      </c>
      <c r="G299">
        <v>45977</v>
      </c>
      <c r="H299" t="str">
        <v>אבוקדו</v>
      </c>
      <c r="I299">
        <v>10</v>
      </c>
      <c r="J299">
        <v>20</v>
      </c>
      <c r="K299">
        <v>200</v>
      </c>
    </row>
    <row r="300">
      <c r="D300" t="str">
        <v>70883</v>
      </c>
      <c r="E300" t="str">
        <v>מינה טומיי יהוד(אושיבה בע"מ)</v>
      </c>
      <c r="F300">
        <v>448408</v>
      </c>
      <c r="G300">
        <v>45977</v>
      </c>
      <c r="H300" t="str">
        <v>אבוקדו</v>
      </c>
      <c r="I300">
        <v>10</v>
      </c>
      <c r="J300">
        <v>-20</v>
      </c>
      <c r="K300">
        <v>-200</v>
      </c>
    </row>
    <row r="301">
      <c r="D301" t="str">
        <v>70883</v>
      </c>
      <c r="E301" t="str">
        <v>מינה טומיי יהוד(אושיבה בע"מ)</v>
      </c>
      <c r="F301">
        <v>448555</v>
      </c>
      <c r="G301">
        <v>45979</v>
      </c>
      <c r="H301" t="str">
        <v>אבוקדו</v>
      </c>
      <c r="I301">
        <v>10</v>
      </c>
      <c r="J301">
        <v>10</v>
      </c>
      <c r="K301">
        <v>100</v>
      </c>
    </row>
    <row r="302">
      <c r="D302" t="str">
        <v>70883</v>
      </c>
      <c r="E302" t="str">
        <v>מינה טומיי יהוד(אושיבה בע"מ)</v>
      </c>
      <c r="F302">
        <v>448470</v>
      </c>
      <c r="G302">
        <v>45979</v>
      </c>
      <c r="H302" t="str">
        <v>אבוקדו</v>
      </c>
      <c r="I302">
        <v>10</v>
      </c>
      <c r="J302">
        <v>20</v>
      </c>
      <c r="K302">
        <v>200</v>
      </c>
    </row>
    <row r="303">
      <c r="D303" t="str">
        <v>70883</v>
      </c>
      <c r="E303" t="str">
        <v>מינה טומיי יהוד(אושיבה בע"מ)</v>
      </c>
      <c r="F303">
        <v>448666</v>
      </c>
      <c r="G303">
        <v>45981</v>
      </c>
      <c r="H303" t="str">
        <v>אבוקדו</v>
      </c>
      <c r="I303">
        <v>10</v>
      </c>
      <c r="J303">
        <v>40</v>
      </c>
      <c r="K303">
        <v>400</v>
      </c>
    </row>
    <row r="304">
      <c r="D304" t="str">
        <v>70883</v>
      </c>
      <c r="E304" t="str">
        <v>מינה טומיי יהוד(אושיבה בע"מ)</v>
      </c>
      <c r="F304">
        <v>448967</v>
      </c>
      <c r="G304">
        <v>45986</v>
      </c>
      <c r="H304" t="str">
        <v>אבוקדו</v>
      </c>
      <c r="I304">
        <v>10</v>
      </c>
      <c r="J304">
        <v>30</v>
      </c>
      <c r="K304">
        <v>300</v>
      </c>
    </row>
    <row r="305">
      <c r="D305" t="str">
        <v>70883</v>
      </c>
      <c r="E305" t="str">
        <v>מינה טומיי יהוד(אושיבה בע"מ)</v>
      </c>
      <c r="F305">
        <v>449164</v>
      </c>
      <c r="G305">
        <v>45988</v>
      </c>
      <c r="H305" t="str">
        <v>אבוקדו</v>
      </c>
      <c r="I305">
        <v>10</v>
      </c>
      <c r="J305">
        <v>40</v>
      </c>
      <c r="K305">
        <v>400</v>
      </c>
    </row>
    <row r="306">
      <c r="D306" t="str">
        <v>70883</v>
      </c>
      <c r="E306" t="str">
        <v>מינה טומיי יהוד(אושיבה בע"מ)</v>
      </c>
      <c r="F306">
        <v>449283</v>
      </c>
      <c r="G306">
        <v>45991</v>
      </c>
      <c r="H306" t="str">
        <v>אבוקדו</v>
      </c>
      <c r="I306">
        <v>10</v>
      </c>
      <c r="J306">
        <v>30</v>
      </c>
      <c r="K306">
        <v>300</v>
      </c>
    </row>
    <row r="307">
      <c r="D307" t="str">
        <v>70883</v>
      </c>
      <c r="E307" t="str">
        <v>מינה טומיי יהוד(אושיבה בע"מ)</v>
      </c>
      <c r="F307">
        <v>449464</v>
      </c>
      <c r="G307">
        <v>45993</v>
      </c>
      <c r="H307" t="str">
        <v>אבוקדו</v>
      </c>
      <c r="I307">
        <v>10</v>
      </c>
      <c r="J307">
        <v>30</v>
      </c>
      <c r="K307">
        <v>300</v>
      </c>
    </row>
    <row r="308">
      <c r="D308" t="str">
        <v>70883</v>
      </c>
      <c r="E308" t="str">
        <v>מינה טומיי יהוד(אושיבה בע"מ)</v>
      </c>
      <c r="F308">
        <v>449677</v>
      </c>
      <c r="G308">
        <v>45995</v>
      </c>
      <c r="H308" t="str">
        <v>אבוקדו</v>
      </c>
      <c r="I308">
        <v>10</v>
      </c>
      <c r="J308">
        <v>40</v>
      </c>
      <c r="K308">
        <v>400</v>
      </c>
    </row>
    <row r="309">
      <c r="D309" t="str">
        <v>70883</v>
      </c>
      <c r="E309" t="str">
        <v>מינה טומיי יהוד(אושיבה בע"מ)</v>
      </c>
      <c r="F309">
        <v>449789</v>
      </c>
      <c r="G309">
        <v>45998</v>
      </c>
      <c r="H309" t="str">
        <v>אבוקדו</v>
      </c>
      <c r="I309">
        <v>10</v>
      </c>
      <c r="J309">
        <v>30</v>
      </c>
      <c r="K309">
        <v>300</v>
      </c>
    </row>
    <row r="310">
      <c r="D310" t="str">
        <v>70883</v>
      </c>
      <c r="E310" t="str">
        <v>מינה טומיי יהוד(אושיבה בע"מ)</v>
      </c>
      <c r="F310">
        <v>450003</v>
      </c>
      <c r="G310">
        <v>46000</v>
      </c>
      <c r="H310" t="str">
        <v>אבוקדו</v>
      </c>
      <c r="I310">
        <v>10</v>
      </c>
      <c r="J310">
        <v>30</v>
      </c>
      <c r="K310">
        <v>300</v>
      </c>
    </row>
    <row r="311">
      <c r="D311" t="str">
        <v>70883</v>
      </c>
      <c r="E311" t="str">
        <v>מינה טומיי יהוד(אושיבה בע"מ)</v>
      </c>
      <c r="F311">
        <v>450191</v>
      </c>
      <c r="G311">
        <v>46002</v>
      </c>
      <c r="H311" t="str">
        <v>אבוקדו</v>
      </c>
      <c r="I311">
        <v>10</v>
      </c>
      <c r="J311">
        <v>40</v>
      </c>
      <c r="K311">
        <v>400</v>
      </c>
    </row>
    <row r="312">
      <c r="D312" t="str">
        <v>70883</v>
      </c>
      <c r="E312" t="str">
        <v>מינה טומיי יהוד(אושיבה בע"מ)</v>
      </c>
      <c r="F312">
        <v>450272</v>
      </c>
      <c r="G312">
        <v>46005</v>
      </c>
      <c r="H312" t="str">
        <v>אבוקדו</v>
      </c>
      <c r="I312">
        <v>10</v>
      </c>
      <c r="J312">
        <v>20</v>
      </c>
      <c r="K312">
        <v>200</v>
      </c>
    </row>
    <row r="313">
      <c r="D313" t="str">
        <v>70883</v>
      </c>
      <c r="E313" t="str">
        <v>מינה טומיי יהוד(אושיבה בע"מ)</v>
      </c>
      <c r="F313">
        <v>450524</v>
      </c>
      <c r="G313">
        <v>46007</v>
      </c>
      <c r="H313" t="str">
        <v>אבוקדו</v>
      </c>
      <c r="I313">
        <v>10</v>
      </c>
      <c r="J313">
        <v>20</v>
      </c>
      <c r="K313">
        <v>200</v>
      </c>
    </row>
    <row r="314">
      <c r="D314" t="str">
        <v>70883</v>
      </c>
      <c r="E314" t="str">
        <v>מינה טומיי יהוד(אושיבה בע"מ)</v>
      </c>
      <c r="F314">
        <v>450676</v>
      </c>
      <c r="G314">
        <v>46009</v>
      </c>
      <c r="H314" t="str">
        <v>אבוקדו</v>
      </c>
      <c r="I314">
        <v>10</v>
      </c>
      <c r="J314">
        <v>30</v>
      </c>
      <c r="K314">
        <v>300</v>
      </c>
    </row>
    <row r="315">
      <c r="D315" t="str">
        <v>70883</v>
      </c>
      <c r="E315" t="str">
        <v>מינה טומיי יהוד(אושיבה בע"מ)</v>
      </c>
      <c r="F315">
        <v>450786</v>
      </c>
      <c r="G315">
        <v>46012</v>
      </c>
      <c r="H315" t="str">
        <v>אבוקדו</v>
      </c>
      <c r="I315">
        <v>10</v>
      </c>
      <c r="J315">
        <v>30</v>
      </c>
      <c r="K315">
        <v>300</v>
      </c>
    </row>
    <row r="316">
      <c r="D316" t="str">
        <v>70883</v>
      </c>
      <c r="E316" t="str">
        <v>מינה טומיי יהוד(אושיבה בע"מ)</v>
      </c>
      <c r="F316">
        <v>450990</v>
      </c>
      <c r="G316">
        <v>46014</v>
      </c>
      <c r="H316" t="str">
        <v>אבוקדו</v>
      </c>
      <c r="I316">
        <v>10</v>
      </c>
      <c r="J316">
        <v>20</v>
      </c>
      <c r="K316">
        <v>200</v>
      </c>
    </row>
    <row r="317">
      <c r="D317" t="str">
        <v>70883</v>
      </c>
      <c r="E317" t="str">
        <v>מינה טומיי יהוד(אושיבה בע"מ)</v>
      </c>
      <c r="F317">
        <v>451156</v>
      </c>
      <c r="G317">
        <v>46016</v>
      </c>
      <c r="H317" t="str">
        <v>אבוקדו</v>
      </c>
      <c r="I317">
        <v>10</v>
      </c>
      <c r="J317">
        <v>30</v>
      </c>
      <c r="K317">
        <v>300</v>
      </c>
    </row>
    <row r="318">
      <c r="D318" t="str">
        <v>70883</v>
      </c>
      <c r="E318" t="str">
        <v>מינה טומיי יהוד(אושיבה בע"מ)</v>
      </c>
      <c r="F318">
        <v>451320</v>
      </c>
      <c r="G318">
        <v>46019</v>
      </c>
      <c r="H318" t="str">
        <v>אבוקדו</v>
      </c>
      <c r="I318">
        <v>10</v>
      </c>
      <c r="J318">
        <v>20</v>
      </c>
      <c r="K318">
        <v>200</v>
      </c>
    </row>
    <row r="319">
      <c r="D319" t="str">
        <v>70883</v>
      </c>
      <c r="E319" t="str">
        <v>מינה טומיי יהוד(אושיבה בע"מ)</v>
      </c>
      <c r="F319">
        <v>451550</v>
      </c>
      <c r="G319">
        <v>46021</v>
      </c>
      <c r="H319" t="str">
        <v>אבוקדו</v>
      </c>
      <c r="I319">
        <v>10</v>
      </c>
      <c r="J319">
        <v>40</v>
      </c>
      <c r="K319">
        <v>400</v>
      </c>
    </row>
    <row r="320">
      <c r="J320">
        <f>SUM(J261:J319)</f>
        <v>1280</v>
      </c>
    </row>
    <row r="321">
      <c r="J321">
        <f>J320+J259+J185+J140+J64</f>
        <v>11320</v>
      </c>
    </row>
  </sheetData>
  <pageMargins left="0.75" right="0.75" top="1" bottom="1" header="0.5" footer="0.5"/>
  <ignoredErrors>
    <ignoredError numberStoredAsText="1" sqref="A1:L3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31"/>
  <sheetViews>
    <sheetView workbookViewId="0" rightToLeft="1"/>
  </sheetViews>
  <sheetData>
    <row r="1">
      <c r="A1" t="str">
        <v>מור בריאות בע"מ</v>
      </c>
    </row>
    <row r="2">
      <c r="A2" t="str">
        <v>דוח לקוחות קרין</v>
      </c>
    </row>
    <row r="3">
      <c r="D3" t="str">
        <v>מפתח חשבון</v>
      </c>
      <c r="E3" t="str">
        <v>שם חשבון</v>
      </c>
      <c r="F3" t="str">
        <v>אסמכתא</v>
      </c>
      <c r="G3" t="str">
        <v>תאריך</v>
      </c>
      <c r="H3" t="str">
        <v>שם פריט</v>
      </c>
      <c r="I3" t="str">
        <v>מחיר נטו</v>
      </c>
      <c r="J3" t="str">
        <v>כמות יציאה</v>
      </c>
      <c r="K3" t="str">
        <v>סה"כ בתנועה יציאה</v>
      </c>
    </row>
    <row r="4">
      <c r="A4" t="str">
        <v>קינג קונג קריות(קינג קונג בע"מ)</v>
      </c>
      <c r="B4" t="str">
        <v>70646</v>
      </c>
      <c r="C4">
        <v>724</v>
      </c>
    </row>
    <row r="5">
      <c r="D5" t="str">
        <v>70646</v>
      </c>
      <c r="E5" t="str">
        <v>קינג קונג קריות(קינג קונג בע"מ)</v>
      </c>
      <c r="F5">
        <v>810590</v>
      </c>
      <c r="G5">
        <v>45933</v>
      </c>
      <c r="H5" t="str">
        <v>בטטה</v>
      </c>
      <c r="I5">
        <v>5</v>
      </c>
      <c r="J5">
        <v>20</v>
      </c>
      <c r="K5">
        <v>100</v>
      </c>
    </row>
    <row r="6">
      <c r="D6" t="str">
        <v>70646</v>
      </c>
      <c r="E6" t="str">
        <v>קינג קונג קריות(קינג קונג בע"מ)</v>
      </c>
      <c r="F6">
        <v>810698</v>
      </c>
      <c r="G6">
        <v>45935</v>
      </c>
      <c r="H6" t="str">
        <v>בטטה</v>
      </c>
      <c r="I6">
        <v>5</v>
      </c>
      <c r="J6">
        <v>10</v>
      </c>
      <c r="K6">
        <v>50</v>
      </c>
    </row>
    <row r="7">
      <c r="D7" t="str">
        <v>70646</v>
      </c>
      <c r="E7" t="str">
        <v>קינג קונג קריות(קינג קונג בע"מ)</v>
      </c>
      <c r="F7">
        <v>1576</v>
      </c>
      <c r="G7">
        <v>45939</v>
      </c>
      <c r="H7" t="str">
        <v>בטטה</v>
      </c>
      <c r="I7">
        <v>5</v>
      </c>
      <c r="J7">
        <v>30</v>
      </c>
      <c r="K7">
        <v>150</v>
      </c>
    </row>
    <row r="8">
      <c r="D8" t="str">
        <v>70646</v>
      </c>
      <c r="E8" t="str">
        <v>קינג קונג קריות(קינג קונג בע"מ)</v>
      </c>
      <c r="F8">
        <v>1707</v>
      </c>
      <c r="G8">
        <v>45942</v>
      </c>
      <c r="H8" t="str">
        <v>בטטה</v>
      </c>
      <c r="I8">
        <v>5</v>
      </c>
      <c r="J8">
        <v>40</v>
      </c>
      <c r="K8">
        <v>200</v>
      </c>
    </row>
    <row r="9">
      <c r="D9" t="str">
        <v>70646</v>
      </c>
      <c r="E9" t="str">
        <v>קינג קונג קריות(קינג קונג בע"מ)</v>
      </c>
      <c r="F9">
        <v>2023</v>
      </c>
      <c r="G9">
        <v>45946</v>
      </c>
      <c r="H9" t="str">
        <v>בטטה</v>
      </c>
      <c r="I9">
        <v>5</v>
      </c>
      <c r="J9">
        <v>40</v>
      </c>
      <c r="K9">
        <v>200</v>
      </c>
    </row>
    <row r="10">
      <c r="D10" t="str">
        <v>70646</v>
      </c>
      <c r="E10" t="str">
        <v>קינג קונג קריות(קינג קונג בע"מ)</v>
      </c>
      <c r="F10">
        <v>2120</v>
      </c>
      <c r="G10">
        <v>45949</v>
      </c>
      <c r="H10" t="str">
        <v>בטטה</v>
      </c>
      <c r="I10">
        <v>5</v>
      </c>
      <c r="J10">
        <v>30</v>
      </c>
      <c r="K10">
        <v>150</v>
      </c>
    </row>
    <row r="11">
      <c r="D11" t="str">
        <v>70646</v>
      </c>
      <c r="E11" t="str">
        <v>קינג קונג קריות(קינג קונג בע"מ)</v>
      </c>
      <c r="F11">
        <v>2322</v>
      </c>
      <c r="G11">
        <v>45951</v>
      </c>
      <c r="H11" t="str">
        <v>בטטה</v>
      </c>
      <c r="I11">
        <v>5</v>
      </c>
      <c r="J11">
        <v>30</v>
      </c>
      <c r="K11">
        <v>150</v>
      </c>
    </row>
    <row r="12">
      <c r="D12" t="str">
        <v>70646</v>
      </c>
      <c r="E12" t="str">
        <v>קינג קונג קריות(קינג קונג בע"מ)</v>
      </c>
      <c r="F12">
        <v>2529</v>
      </c>
      <c r="G12">
        <v>45953</v>
      </c>
      <c r="H12" t="str">
        <v>בטטה</v>
      </c>
      <c r="I12">
        <v>5</v>
      </c>
      <c r="J12">
        <v>40</v>
      </c>
      <c r="K12">
        <v>200</v>
      </c>
    </row>
    <row r="13">
      <c r="D13" t="str">
        <v>70646</v>
      </c>
      <c r="E13" t="str">
        <v>קינג קונג קריות(קינג קונג בע"מ)</v>
      </c>
      <c r="F13">
        <v>2712</v>
      </c>
      <c r="G13">
        <v>45956</v>
      </c>
      <c r="H13" t="str">
        <v>בטטה</v>
      </c>
      <c r="I13">
        <v>5</v>
      </c>
      <c r="J13">
        <v>30</v>
      </c>
      <c r="K13">
        <v>150</v>
      </c>
    </row>
    <row r="14">
      <c r="D14" t="str">
        <v>70646</v>
      </c>
      <c r="E14" t="str">
        <v>קינג קונג קריות(קינג קונג בע"מ)</v>
      </c>
      <c r="F14">
        <v>2899</v>
      </c>
      <c r="G14">
        <v>45958</v>
      </c>
      <c r="H14" t="str">
        <v>בטטה</v>
      </c>
      <c r="I14">
        <v>5</v>
      </c>
      <c r="J14">
        <v>20</v>
      </c>
      <c r="K14">
        <v>100</v>
      </c>
    </row>
    <row r="15">
      <c r="D15" t="str">
        <v>70646</v>
      </c>
      <c r="E15" t="str">
        <v>קינג קונג קריות(קינג קונג בע"מ)</v>
      </c>
      <c r="F15">
        <v>3051</v>
      </c>
      <c r="G15">
        <v>45960</v>
      </c>
      <c r="H15" t="str">
        <v>בטטה</v>
      </c>
      <c r="I15">
        <v>5</v>
      </c>
      <c r="J15">
        <v>30</v>
      </c>
      <c r="K15">
        <v>150</v>
      </c>
    </row>
    <row r="16">
      <c r="D16" t="str">
        <v>70646</v>
      </c>
      <c r="E16" t="str">
        <v>קינג קונג קריות(קינג קונג בע"מ)</v>
      </c>
      <c r="F16">
        <v>9133</v>
      </c>
      <c r="G16">
        <v>45963</v>
      </c>
      <c r="H16" t="str">
        <v>בטטה</v>
      </c>
      <c r="I16">
        <v>5</v>
      </c>
      <c r="J16">
        <v>20</v>
      </c>
      <c r="K16">
        <v>100</v>
      </c>
    </row>
    <row r="17">
      <c r="D17" t="str">
        <v>70646</v>
      </c>
      <c r="E17" t="str">
        <v>קינג קונג קריות(קינג קונג בע"מ)</v>
      </c>
      <c r="F17">
        <v>447490</v>
      </c>
      <c r="G17">
        <v>45965</v>
      </c>
      <c r="H17" t="str">
        <v>בטטה</v>
      </c>
      <c r="I17">
        <v>5</v>
      </c>
      <c r="J17">
        <v>20</v>
      </c>
      <c r="K17">
        <v>100</v>
      </c>
    </row>
    <row r="18">
      <c r="D18" t="str">
        <v>70646</v>
      </c>
      <c r="E18" t="str">
        <v>קינג קונג קריות(קינג קונג בע"מ)</v>
      </c>
      <c r="F18">
        <v>447733</v>
      </c>
      <c r="G18">
        <v>45967</v>
      </c>
      <c r="H18" t="str">
        <v>בטטה</v>
      </c>
      <c r="I18">
        <v>5</v>
      </c>
      <c r="J18">
        <v>30</v>
      </c>
      <c r="K18">
        <v>150</v>
      </c>
    </row>
    <row r="19">
      <c r="D19" t="str">
        <v>70646</v>
      </c>
      <c r="E19" t="str">
        <v>קינג קונג קריות(קינג קונג בע"מ)</v>
      </c>
      <c r="F19">
        <v>447685</v>
      </c>
      <c r="G19">
        <v>45967</v>
      </c>
      <c r="H19" t="str">
        <v>בטטה</v>
      </c>
      <c r="I19">
        <v>5</v>
      </c>
      <c r="J19">
        <v>10</v>
      </c>
      <c r="K19">
        <v>50</v>
      </c>
    </row>
    <row r="20">
      <c r="D20" t="str">
        <v>70646</v>
      </c>
      <c r="E20" t="str">
        <v>קינג קונג קריות(קינג קונג בע"מ)</v>
      </c>
      <c r="F20">
        <v>447838</v>
      </c>
      <c r="G20">
        <v>45970</v>
      </c>
      <c r="H20" t="str">
        <v>בטטה</v>
      </c>
      <c r="I20">
        <v>5</v>
      </c>
      <c r="J20">
        <v>20</v>
      </c>
      <c r="K20">
        <v>100</v>
      </c>
    </row>
    <row r="21">
      <c r="D21" t="str">
        <v>70646</v>
      </c>
      <c r="E21" t="str">
        <v>קינג קונג קריות(קינג קונג בע"מ)</v>
      </c>
      <c r="F21">
        <v>447998</v>
      </c>
      <c r="G21">
        <v>45972</v>
      </c>
      <c r="H21" t="str">
        <v>בטטה</v>
      </c>
      <c r="I21">
        <v>5</v>
      </c>
      <c r="J21">
        <v>20</v>
      </c>
      <c r="K21">
        <v>100</v>
      </c>
    </row>
    <row r="22">
      <c r="D22" t="str">
        <v>70646</v>
      </c>
      <c r="E22" t="str">
        <v>קינג קונג קריות(קינג קונג בע"מ)</v>
      </c>
      <c r="F22">
        <v>448179</v>
      </c>
      <c r="G22">
        <v>45974</v>
      </c>
      <c r="H22" t="str">
        <v>בטטה</v>
      </c>
      <c r="I22">
        <v>5</v>
      </c>
      <c r="J22">
        <v>40</v>
      </c>
      <c r="K22">
        <v>200</v>
      </c>
    </row>
    <row r="23">
      <c r="D23" t="str">
        <v>70646</v>
      </c>
      <c r="E23" t="str">
        <v>קינג קונג קריות(קינג קונג בע"מ)</v>
      </c>
      <c r="F23">
        <v>448366</v>
      </c>
      <c r="G23">
        <v>45977</v>
      </c>
      <c r="H23" t="str">
        <v>בטטה</v>
      </c>
      <c r="I23">
        <v>5</v>
      </c>
      <c r="J23">
        <v>30</v>
      </c>
      <c r="K23">
        <v>150</v>
      </c>
    </row>
    <row r="24">
      <c r="D24" t="str">
        <v>70646</v>
      </c>
      <c r="E24" t="str">
        <v>קינג קונג קריות(קינג קונג בע"מ)</v>
      </c>
      <c r="F24">
        <v>448512</v>
      </c>
      <c r="G24">
        <v>45979</v>
      </c>
      <c r="H24" t="str">
        <v>בטטה</v>
      </c>
      <c r="I24">
        <v>5</v>
      </c>
      <c r="J24">
        <v>20</v>
      </c>
      <c r="K24">
        <v>100</v>
      </c>
    </row>
    <row r="25">
      <c r="D25" t="str">
        <v>70646</v>
      </c>
      <c r="E25" t="str">
        <v>קינג קונג קריות(קינג קונג בע"מ)</v>
      </c>
      <c r="F25">
        <v>448714</v>
      </c>
      <c r="G25">
        <v>45981</v>
      </c>
      <c r="H25" t="str">
        <v>בטטה</v>
      </c>
      <c r="I25">
        <v>5</v>
      </c>
      <c r="J25">
        <v>30</v>
      </c>
      <c r="K25">
        <v>150</v>
      </c>
    </row>
    <row r="26">
      <c r="D26" t="str">
        <v>70646</v>
      </c>
      <c r="E26" t="str">
        <v>קינג קונג קריות(קינג קונג בע"מ)</v>
      </c>
      <c r="F26">
        <v>448837</v>
      </c>
      <c r="G26">
        <v>45984</v>
      </c>
      <c r="H26" t="str">
        <v>בטטה</v>
      </c>
      <c r="I26">
        <v>5</v>
      </c>
      <c r="J26">
        <v>30</v>
      </c>
      <c r="K26">
        <v>150</v>
      </c>
    </row>
    <row r="27">
      <c r="D27" t="str">
        <v>70646</v>
      </c>
      <c r="E27" t="str">
        <v>קינג קונג קריות(קינג קונג בע"מ)</v>
      </c>
      <c r="F27">
        <v>449040</v>
      </c>
      <c r="G27">
        <v>45986</v>
      </c>
      <c r="H27" t="str">
        <v>בטטה</v>
      </c>
      <c r="I27">
        <v>5</v>
      </c>
      <c r="J27">
        <v>20</v>
      </c>
      <c r="K27">
        <v>100</v>
      </c>
    </row>
    <row r="28">
      <c r="D28" t="str">
        <v>70646</v>
      </c>
      <c r="E28" t="str">
        <v>קינג קונג קריות(קינג קונג בע"מ)</v>
      </c>
      <c r="F28">
        <v>449210</v>
      </c>
      <c r="G28">
        <v>45988</v>
      </c>
      <c r="H28" t="str">
        <v>בטטה</v>
      </c>
      <c r="I28">
        <v>5</v>
      </c>
      <c r="J28">
        <v>30</v>
      </c>
      <c r="K28">
        <v>150</v>
      </c>
    </row>
    <row r="29">
      <c r="D29" t="str">
        <v>70646</v>
      </c>
      <c r="E29" t="str">
        <v>קינג קונג קריות(קינג קונג בע"מ)</v>
      </c>
      <c r="F29">
        <v>449335</v>
      </c>
      <c r="G29">
        <v>45991</v>
      </c>
      <c r="H29" t="str">
        <v>בטטה</v>
      </c>
      <c r="I29">
        <v>5</v>
      </c>
      <c r="J29">
        <v>30</v>
      </c>
      <c r="K29">
        <v>150</v>
      </c>
    </row>
    <row r="30">
      <c r="D30" t="str">
        <v>70646</v>
      </c>
      <c r="E30" t="str">
        <v>קינג קונג קריות(קינג קונג בע"מ)</v>
      </c>
      <c r="F30">
        <v>449537</v>
      </c>
      <c r="G30">
        <v>45993</v>
      </c>
      <c r="H30" t="str">
        <v>בטטה</v>
      </c>
      <c r="I30">
        <v>5</v>
      </c>
      <c r="J30">
        <v>30</v>
      </c>
      <c r="K30">
        <v>150</v>
      </c>
    </row>
    <row r="31">
      <c r="D31" t="str">
        <v>70646</v>
      </c>
      <c r="E31" t="str">
        <v>קינג קונג קריות(קינג קונג בע"מ)</v>
      </c>
      <c r="F31">
        <v>449655</v>
      </c>
      <c r="G31">
        <v>45995</v>
      </c>
      <c r="H31" t="str">
        <v>בטטה</v>
      </c>
      <c r="I31">
        <v>5</v>
      </c>
      <c r="J31">
        <v>30</v>
      </c>
      <c r="K31">
        <v>150</v>
      </c>
    </row>
    <row r="32">
      <c r="D32" t="str">
        <v>70646</v>
      </c>
      <c r="E32" t="str">
        <v>קינג קונג קריות(קינג קונג בע"מ)</v>
      </c>
      <c r="F32">
        <v>449836</v>
      </c>
      <c r="G32">
        <v>45998</v>
      </c>
      <c r="H32" t="str">
        <v>בטטה</v>
      </c>
      <c r="I32">
        <v>5</v>
      </c>
      <c r="J32">
        <v>30</v>
      </c>
      <c r="K32">
        <v>150</v>
      </c>
    </row>
    <row r="33">
      <c r="D33" t="str">
        <v>70646</v>
      </c>
      <c r="E33" t="str">
        <v>קינג קונג קריות(קינג קונג בע"מ)</v>
      </c>
      <c r="F33">
        <v>449991</v>
      </c>
      <c r="G33">
        <v>46000</v>
      </c>
      <c r="H33" t="str">
        <v>בטטה</v>
      </c>
      <c r="I33">
        <v>5</v>
      </c>
      <c r="J33">
        <v>20</v>
      </c>
      <c r="K33">
        <v>100</v>
      </c>
    </row>
    <row r="34">
      <c r="D34" t="str">
        <v>70646</v>
      </c>
      <c r="E34" t="str">
        <v>קינג קונג קריות(קינג קונג בע"מ)</v>
      </c>
      <c r="F34">
        <v>450149</v>
      </c>
      <c r="G34">
        <v>46002</v>
      </c>
      <c r="H34" t="str">
        <v>בטטה</v>
      </c>
      <c r="I34">
        <v>5</v>
      </c>
      <c r="J34">
        <v>30</v>
      </c>
      <c r="K34">
        <v>150</v>
      </c>
    </row>
    <row r="35">
      <c r="D35" t="str">
        <v>70646</v>
      </c>
      <c r="E35" t="str">
        <v>קינג קונג קריות(קינג קונג בע"מ)</v>
      </c>
      <c r="F35">
        <v>450327</v>
      </c>
      <c r="G35">
        <v>46005</v>
      </c>
      <c r="H35" t="str">
        <v>בטטה</v>
      </c>
      <c r="I35">
        <v>5</v>
      </c>
      <c r="J35">
        <v>20</v>
      </c>
      <c r="K35">
        <v>100</v>
      </c>
    </row>
    <row r="36">
      <c r="D36" t="str">
        <v>70646</v>
      </c>
      <c r="E36" t="str">
        <v>קינג קונג קריות(קינג קונג בע"מ)</v>
      </c>
      <c r="F36">
        <v>450485</v>
      </c>
      <c r="G36">
        <v>46007</v>
      </c>
      <c r="H36" t="str">
        <v>בטטה</v>
      </c>
      <c r="I36">
        <v>5</v>
      </c>
      <c r="J36">
        <v>30</v>
      </c>
      <c r="K36">
        <v>150</v>
      </c>
    </row>
    <row r="37">
      <c r="D37" t="str">
        <v>70646</v>
      </c>
      <c r="E37" t="str">
        <v>קינג קונג קריות(קינג קונג בע"מ)</v>
      </c>
      <c r="F37">
        <v>450657</v>
      </c>
      <c r="G37">
        <v>46009</v>
      </c>
      <c r="H37" t="str">
        <v>בטטה</v>
      </c>
      <c r="I37">
        <v>5</v>
      </c>
      <c r="J37">
        <v>30</v>
      </c>
      <c r="K37">
        <v>150</v>
      </c>
    </row>
    <row r="38">
      <c r="D38" t="str">
        <v>70646</v>
      </c>
      <c r="E38" t="str">
        <v>קינג קונג קריות(קינג קונג בע"מ)</v>
      </c>
      <c r="F38">
        <v>450840</v>
      </c>
      <c r="G38">
        <v>46012</v>
      </c>
      <c r="H38" t="str">
        <v>בטטה</v>
      </c>
      <c r="I38">
        <v>5</v>
      </c>
      <c r="J38">
        <v>30</v>
      </c>
      <c r="K38">
        <v>150</v>
      </c>
    </row>
    <row r="39">
      <c r="D39" t="str">
        <v>70646</v>
      </c>
      <c r="E39" t="str">
        <v>קינג קונג קריות(קינג קונג בע"מ)</v>
      </c>
      <c r="F39">
        <v>451037</v>
      </c>
      <c r="G39">
        <v>46014</v>
      </c>
      <c r="H39" t="str">
        <v>בטטה</v>
      </c>
      <c r="I39">
        <v>5</v>
      </c>
      <c r="J39">
        <v>30</v>
      </c>
      <c r="K39">
        <v>150</v>
      </c>
    </row>
    <row r="40">
      <c r="D40" t="str">
        <v>70646</v>
      </c>
      <c r="E40" t="str">
        <v>קינג קונג קריות(קינג קונג בע"מ)</v>
      </c>
      <c r="F40">
        <v>451246</v>
      </c>
      <c r="G40">
        <v>46016</v>
      </c>
      <c r="H40" t="str">
        <v>בטטה</v>
      </c>
      <c r="I40">
        <v>5</v>
      </c>
      <c r="J40">
        <v>30</v>
      </c>
      <c r="K40">
        <v>150</v>
      </c>
    </row>
    <row r="41">
      <c r="D41" t="str">
        <v>70646</v>
      </c>
      <c r="E41" t="str">
        <v>קינג קונג קריות(קינג קונג בע"מ)</v>
      </c>
      <c r="F41">
        <v>451369</v>
      </c>
      <c r="G41">
        <v>46019</v>
      </c>
      <c r="H41" t="str">
        <v>בטטה</v>
      </c>
      <c r="I41">
        <v>5</v>
      </c>
      <c r="J41">
        <v>30</v>
      </c>
      <c r="K41">
        <v>150</v>
      </c>
    </row>
    <row r="42">
      <c r="D42" t="str">
        <v>70646</v>
      </c>
      <c r="E42" t="str">
        <v>קינג קונג קריות(קינג קונג בע"מ)</v>
      </c>
      <c r="F42">
        <v>451594</v>
      </c>
      <c r="G42">
        <v>46021</v>
      </c>
      <c r="H42" t="str">
        <v>בטטה</v>
      </c>
      <c r="I42">
        <v>5</v>
      </c>
      <c r="J42">
        <v>40</v>
      </c>
      <c r="K42">
        <v>200</v>
      </c>
    </row>
    <row r="43">
      <c r="D43" t="str">
        <v>70646</v>
      </c>
      <c r="E43" t="str">
        <v>קינג קונג קריות(קינג קונג בע"מ)</v>
      </c>
      <c r="F43">
        <v>810590</v>
      </c>
      <c r="G43">
        <v>45933</v>
      </c>
      <c r="H43" t="str">
        <v>אבוקדו</v>
      </c>
      <c r="I43">
        <v>11.5</v>
      </c>
      <c r="J43">
        <v>30</v>
      </c>
      <c r="K43">
        <v>345</v>
      </c>
    </row>
    <row r="44">
      <c r="D44" t="str">
        <v>70646</v>
      </c>
      <c r="E44" t="str">
        <v>קינג קונג קריות(קינג קונג בע"מ)</v>
      </c>
      <c r="F44">
        <v>810698</v>
      </c>
      <c r="G44">
        <v>45935</v>
      </c>
      <c r="H44" t="str">
        <v>אבוקדו</v>
      </c>
      <c r="I44">
        <v>11.5</v>
      </c>
      <c r="J44">
        <v>60</v>
      </c>
      <c r="K44">
        <v>690</v>
      </c>
    </row>
    <row r="45">
      <c r="D45" t="str">
        <v>70646</v>
      </c>
      <c r="E45" t="str">
        <v>קינג קונג קריות(קינג קונג בע"מ)</v>
      </c>
      <c r="F45">
        <v>1576</v>
      </c>
      <c r="G45">
        <v>45939</v>
      </c>
      <c r="H45" t="str">
        <v>אבוקדו</v>
      </c>
      <c r="I45">
        <v>10</v>
      </c>
      <c r="J45">
        <v>60</v>
      </c>
      <c r="K45">
        <v>600</v>
      </c>
    </row>
    <row r="46">
      <c r="D46" t="str">
        <v>70646</v>
      </c>
      <c r="E46" t="str">
        <v>קינג קונג קריות(קינג קונג בע"מ)</v>
      </c>
      <c r="F46">
        <v>1707</v>
      </c>
      <c r="G46">
        <v>45942</v>
      </c>
      <c r="H46" t="str">
        <v>אבוקדו</v>
      </c>
      <c r="I46">
        <v>10</v>
      </c>
      <c r="J46">
        <v>80</v>
      </c>
      <c r="K46">
        <v>800</v>
      </c>
    </row>
    <row r="47">
      <c r="D47" t="str">
        <v>70646</v>
      </c>
      <c r="E47" t="str">
        <v>קינג קונג קריות(קינג קונג בע"מ)</v>
      </c>
      <c r="F47">
        <v>2023</v>
      </c>
      <c r="G47">
        <v>45946</v>
      </c>
      <c r="H47" t="str">
        <v>אבוקדו</v>
      </c>
      <c r="I47">
        <v>10</v>
      </c>
      <c r="J47">
        <v>100</v>
      </c>
      <c r="K47">
        <v>1000</v>
      </c>
    </row>
    <row r="48">
      <c r="D48" t="str">
        <v>70646</v>
      </c>
      <c r="E48" t="str">
        <v>קינג קונג קריות(קינג קונג בע"מ)</v>
      </c>
      <c r="F48">
        <v>2120</v>
      </c>
      <c r="G48">
        <v>45949</v>
      </c>
      <c r="H48" t="str">
        <v>אבוקדו</v>
      </c>
      <c r="I48">
        <v>10</v>
      </c>
      <c r="J48">
        <v>70</v>
      </c>
      <c r="K48">
        <v>700</v>
      </c>
    </row>
    <row r="49">
      <c r="D49" t="str">
        <v>70646</v>
      </c>
      <c r="E49" t="str">
        <v>קינג קונג קריות(קינג קונג בע"מ)</v>
      </c>
      <c r="F49">
        <v>2322</v>
      </c>
      <c r="G49">
        <v>45951</v>
      </c>
      <c r="H49" t="str">
        <v>אבוקדו</v>
      </c>
      <c r="I49">
        <v>10</v>
      </c>
      <c r="J49">
        <v>50</v>
      </c>
      <c r="K49">
        <v>500</v>
      </c>
    </row>
    <row r="50">
      <c r="D50" t="str">
        <v>70646</v>
      </c>
      <c r="E50" t="str">
        <v>קינג קונג קריות(קינג קונג בע"מ)</v>
      </c>
      <c r="F50">
        <v>2529</v>
      </c>
      <c r="G50">
        <v>45953</v>
      </c>
      <c r="H50" t="str">
        <v>אבוקדו</v>
      </c>
      <c r="I50">
        <v>10</v>
      </c>
      <c r="J50">
        <v>80</v>
      </c>
      <c r="K50">
        <v>800</v>
      </c>
    </row>
    <row r="51">
      <c r="D51" t="str">
        <v>70646</v>
      </c>
      <c r="E51" t="str">
        <v>קינג קונג קריות(קינג קונג בע"מ)</v>
      </c>
      <c r="F51">
        <v>2712</v>
      </c>
      <c r="G51">
        <v>45956</v>
      </c>
      <c r="H51" t="str">
        <v>אבוקדו</v>
      </c>
      <c r="I51">
        <v>10</v>
      </c>
      <c r="J51">
        <v>60</v>
      </c>
      <c r="K51">
        <v>600</v>
      </c>
    </row>
    <row r="52">
      <c r="D52" t="str">
        <v>70646</v>
      </c>
      <c r="E52" t="str">
        <v>קינג קונג קריות(קינג קונג בע"מ)</v>
      </c>
      <c r="F52">
        <v>2899</v>
      </c>
      <c r="G52">
        <v>45958</v>
      </c>
      <c r="H52" t="str">
        <v>אבוקדו</v>
      </c>
      <c r="I52">
        <v>10</v>
      </c>
      <c r="J52">
        <v>20</v>
      </c>
      <c r="K52">
        <v>200</v>
      </c>
    </row>
    <row r="53">
      <c r="D53" t="str">
        <v>70646</v>
      </c>
      <c r="E53" t="str">
        <v>קינג קונג קריות(קינג קונג בע"מ)</v>
      </c>
      <c r="F53">
        <v>3051</v>
      </c>
      <c r="G53">
        <v>45960</v>
      </c>
      <c r="H53" t="str">
        <v>אבוקדו</v>
      </c>
      <c r="I53">
        <v>10</v>
      </c>
      <c r="J53">
        <v>70</v>
      </c>
      <c r="K53">
        <v>700</v>
      </c>
    </row>
    <row r="54">
      <c r="D54" t="str">
        <v>70646</v>
      </c>
      <c r="E54" t="str">
        <v>קינג קונג קריות(קינג קונג בע"מ)</v>
      </c>
      <c r="F54">
        <v>9133</v>
      </c>
      <c r="G54">
        <v>45963</v>
      </c>
      <c r="H54" t="str">
        <v>אבוקדו</v>
      </c>
      <c r="I54">
        <v>10</v>
      </c>
      <c r="J54">
        <v>60</v>
      </c>
      <c r="K54">
        <v>600</v>
      </c>
    </row>
    <row r="55">
      <c r="D55" t="str">
        <v>70646</v>
      </c>
      <c r="E55" t="str">
        <v>קינג קונג קריות(קינג קונג בע"מ)</v>
      </c>
      <c r="F55">
        <v>447490</v>
      </c>
      <c r="G55">
        <v>45965</v>
      </c>
      <c r="H55" t="str">
        <v>אבוקדו</v>
      </c>
      <c r="I55">
        <v>10</v>
      </c>
      <c r="J55">
        <v>50</v>
      </c>
      <c r="K55">
        <v>500</v>
      </c>
    </row>
    <row r="56">
      <c r="D56" t="str">
        <v>70646</v>
      </c>
      <c r="E56" t="str">
        <v>קינג קונג קריות(קינג קונג בע"מ)</v>
      </c>
      <c r="F56">
        <v>447685</v>
      </c>
      <c r="G56">
        <v>45967</v>
      </c>
      <c r="H56" t="str">
        <v>אבוקדו</v>
      </c>
      <c r="I56">
        <v>10</v>
      </c>
      <c r="J56">
        <v>70</v>
      </c>
      <c r="K56">
        <v>700</v>
      </c>
    </row>
    <row r="57">
      <c r="D57" t="str">
        <v>70646</v>
      </c>
      <c r="E57" t="str">
        <v>קינג קונג קריות(קינג קונג בע"מ)</v>
      </c>
      <c r="F57">
        <v>447838</v>
      </c>
      <c r="G57">
        <v>45970</v>
      </c>
      <c r="H57" t="str">
        <v>אבוקדו</v>
      </c>
      <c r="I57">
        <v>10</v>
      </c>
      <c r="J57">
        <v>60</v>
      </c>
      <c r="K57">
        <v>600</v>
      </c>
    </row>
    <row r="58">
      <c r="D58" t="str">
        <v>70646</v>
      </c>
      <c r="E58" t="str">
        <v>קינג קונג קריות(קינג קונג בע"מ)</v>
      </c>
      <c r="F58">
        <v>447998</v>
      </c>
      <c r="G58">
        <v>45972</v>
      </c>
      <c r="H58" t="str">
        <v>אבוקדו</v>
      </c>
      <c r="I58">
        <v>10</v>
      </c>
      <c r="J58">
        <v>60</v>
      </c>
      <c r="K58">
        <v>600</v>
      </c>
    </row>
    <row r="59">
      <c r="D59" t="str">
        <v>70646</v>
      </c>
      <c r="E59" t="str">
        <v>קינג קונג קריות(קינג קונג בע"מ)</v>
      </c>
      <c r="F59">
        <v>448179</v>
      </c>
      <c r="G59">
        <v>45974</v>
      </c>
      <c r="H59" t="str">
        <v>אבוקדו</v>
      </c>
      <c r="I59">
        <v>10</v>
      </c>
      <c r="J59">
        <v>90</v>
      </c>
      <c r="K59">
        <v>900</v>
      </c>
    </row>
    <row r="60">
      <c r="D60" t="str">
        <v>70646</v>
      </c>
      <c r="E60" t="str">
        <v>קינג קונג קריות(קינג קונג בע"מ)</v>
      </c>
      <c r="F60">
        <v>448366</v>
      </c>
      <c r="G60">
        <v>45977</v>
      </c>
      <c r="H60" t="str">
        <v>אבוקדו</v>
      </c>
      <c r="I60">
        <v>10</v>
      </c>
      <c r="J60">
        <v>60</v>
      </c>
      <c r="K60">
        <v>600</v>
      </c>
    </row>
    <row r="61">
      <c r="D61" t="str">
        <v>70646</v>
      </c>
      <c r="E61" t="str">
        <v>קינג קונג קריות(קינג קונג בע"מ)</v>
      </c>
      <c r="F61">
        <v>448512</v>
      </c>
      <c r="G61">
        <v>45979</v>
      </c>
      <c r="H61" t="str">
        <v>אבוקדו</v>
      </c>
      <c r="I61">
        <v>10</v>
      </c>
      <c r="J61">
        <v>50</v>
      </c>
      <c r="K61">
        <v>500</v>
      </c>
    </row>
    <row r="62">
      <c r="D62" t="str">
        <v>70646</v>
      </c>
      <c r="E62" t="str">
        <v>קינג קונג קריות(קינג קונג בע"מ)</v>
      </c>
      <c r="F62">
        <v>448714</v>
      </c>
      <c r="G62">
        <v>45981</v>
      </c>
      <c r="H62" t="str">
        <v>אבוקדו</v>
      </c>
      <c r="I62">
        <v>10</v>
      </c>
      <c r="J62">
        <v>90</v>
      </c>
      <c r="K62">
        <v>900</v>
      </c>
    </row>
    <row r="63">
      <c r="D63" t="str">
        <v>70646</v>
      </c>
      <c r="E63" t="str">
        <v>קינג קונג קריות(קינג קונג בע"מ)</v>
      </c>
      <c r="F63">
        <v>448837</v>
      </c>
      <c r="G63">
        <v>45984</v>
      </c>
      <c r="H63" t="str">
        <v>אבוקדו</v>
      </c>
      <c r="I63">
        <v>10</v>
      </c>
      <c r="J63">
        <v>40</v>
      </c>
      <c r="K63">
        <v>400</v>
      </c>
    </row>
    <row r="64">
      <c r="D64" t="str">
        <v>70646</v>
      </c>
      <c r="E64" t="str">
        <v>קינג קונג קריות(קינג קונג בע"מ)</v>
      </c>
      <c r="F64">
        <v>449040</v>
      </c>
      <c r="G64">
        <v>45986</v>
      </c>
      <c r="H64" t="str">
        <v>אבוקדו</v>
      </c>
      <c r="I64">
        <v>10</v>
      </c>
      <c r="J64">
        <v>40</v>
      </c>
      <c r="K64">
        <v>400</v>
      </c>
    </row>
    <row r="65">
      <c r="D65" t="str">
        <v>70646</v>
      </c>
      <c r="E65" t="str">
        <v>קינג קונג קריות(קינג קונג בע"מ)</v>
      </c>
      <c r="F65">
        <v>449210</v>
      </c>
      <c r="G65">
        <v>45988</v>
      </c>
      <c r="H65" t="str">
        <v>אבוקדו</v>
      </c>
      <c r="I65">
        <v>10</v>
      </c>
      <c r="J65">
        <v>60</v>
      </c>
      <c r="K65">
        <v>600</v>
      </c>
    </row>
    <row r="66">
      <c r="D66" t="str">
        <v>70646</v>
      </c>
      <c r="E66" t="str">
        <v>קינג קונג קריות(קינג קונג בע"מ)</v>
      </c>
      <c r="F66">
        <v>449335</v>
      </c>
      <c r="G66">
        <v>45991</v>
      </c>
      <c r="H66" t="str">
        <v>אבוקדו</v>
      </c>
      <c r="I66">
        <v>10</v>
      </c>
      <c r="J66">
        <v>50</v>
      </c>
      <c r="K66">
        <v>500</v>
      </c>
    </row>
    <row r="67">
      <c r="D67" t="str">
        <v>70646</v>
      </c>
      <c r="E67" t="str">
        <v>קינג קונג קריות(קינג קונג בע"מ)</v>
      </c>
      <c r="F67">
        <v>449537</v>
      </c>
      <c r="G67">
        <v>45993</v>
      </c>
      <c r="H67" t="str">
        <v>אבוקדו</v>
      </c>
      <c r="I67">
        <v>10</v>
      </c>
      <c r="J67">
        <v>50</v>
      </c>
      <c r="K67">
        <v>500</v>
      </c>
    </row>
    <row r="68">
      <c r="D68" t="str">
        <v>70646</v>
      </c>
      <c r="E68" t="str">
        <v>קינג קונג קריות(קינג קונג בע"מ)</v>
      </c>
      <c r="F68">
        <v>449655</v>
      </c>
      <c r="G68">
        <v>45995</v>
      </c>
      <c r="H68" t="str">
        <v>אבוקדו</v>
      </c>
      <c r="I68">
        <v>10</v>
      </c>
      <c r="J68">
        <v>80</v>
      </c>
      <c r="K68">
        <v>800</v>
      </c>
    </row>
    <row r="69">
      <c r="D69" t="str">
        <v>70646</v>
      </c>
      <c r="E69" t="str">
        <v>קינג קונג קריות(קינג קונג בע"מ)</v>
      </c>
      <c r="F69">
        <v>449836</v>
      </c>
      <c r="G69">
        <v>45998</v>
      </c>
      <c r="H69" t="str">
        <v>אבוקדו</v>
      </c>
      <c r="I69">
        <v>10</v>
      </c>
      <c r="J69">
        <v>60</v>
      </c>
      <c r="K69">
        <v>600</v>
      </c>
    </row>
    <row r="70">
      <c r="D70" t="str">
        <v>70646</v>
      </c>
      <c r="E70" t="str">
        <v>קינג קונג קריות(קינג קונג בע"מ)</v>
      </c>
      <c r="F70">
        <v>449991</v>
      </c>
      <c r="G70">
        <v>46000</v>
      </c>
      <c r="H70" t="str">
        <v>אבוקדו</v>
      </c>
      <c r="I70">
        <v>10</v>
      </c>
      <c r="J70">
        <v>50</v>
      </c>
      <c r="K70">
        <v>500</v>
      </c>
    </row>
    <row r="71">
      <c r="D71" t="str">
        <v>70646</v>
      </c>
      <c r="E71" t="str">
        <v>קינג קונג קריות(קינג קונג בע"מ)</v>
      </c>
      <c r="F71">
        <v>450149</v>
      </c>
      <c r="G71">
        <v>46002</v>
      </c>
      <c r="H71" t="str">
        <v>אבוקדו</v>
      </c>
      <c r="I71">
        <v>10</v>
      </c>
      <c r="J71">
        <v>70</v>
      </c>
      <c r="K71">
        <v>700</v>
      </c>
    </row>
    <row r="72">
      <c r="D72" t="str">
        <v>70646</v>
      </c>
      <c r="E72" t="str">
        <v>קינג קונג קריות(קינג קונג בע"מ)</v>
      </c>
      <c r="F72">
        <v>450327</v>
      </c>
      <c r="G72">
        <v>46005</v>
      </c>
      <c r="H72" t="str">
        <v>אבוקדו</v>
      </c>
      <c r="I72">
        <v>10</v>
      </c>
      <c r="J72">
        <v>60</v>
      </c>
      <c r="K72">
        <v>600</v>
      </c>
    </row>
    <row r="73">
      <c r="D73" t="str">
        <v>70646</v>
      </c>
      <c r="E73" t="str">
        <v>קינג קונג קריות(קינג קונג בע"מ)</v>
      </c>
      <c r="F73">
        <v>450485</v>
      </c>
      <c r="G73">
        <v>46007</v>
      </c>
      <c r="H73" t="str">
        <v>אבוקדו</v>
      </c>
      <c r="I73">
        <v>10</v>
      </c>
      <c r="J73">
        <v>60</v>
      </c>
      <c r="K73">
        <v>600</v>
      </c>
    </row>
    <row r="74">
      <c r="D74" t="str">
        <v>70646</v>
      </c>
      <c r="E74" t="str">
        <v>קינג קונג קריות(קינג קונג בע"מ)</v>
      </c>
      <c r="F74">
        <v>450657</v>
      </c>
      <c r="G74">
        <v>46009</v>
      </c>
      <c r="H74" t="str">
        <v>אבוקדו</v>
      </c>
      <c r="I74">
        <v>10</v>
      </c>
      <c r="J74">
        <v>80</v>
      </c>
      <c r="K74">
        <v>800</v>
      </c>
    </row>
    <row r="75">
      <c r="D75" t="str">
        <v>70646</v>
      </c>
      <c r="E75" t="str">
        <v>קינג קונג קריות(קינג קונג בע"מ)</v>
      </c>
      <c r="F75">
        <v>450840</v>
      </c>
      <c r="G75">
        <v>46012</v>
      </c>
      <c r="H75" t="str">
        <v>אבוקדו</v>
      </c>
      <c r="I75">
        <v>10</v>
      </c>
      <c r="J75">
        <v>50</v>
      </c>
      <c r="K75">
        <v>500</v>
      </c>
    </row>
    <row r="76">
      <c r="D76" t="str">
        <v>70646</v>
      </c>
      <c r="E76" t="str">
        <v>קינג קונג קריות(קינג קונג בע"מ)</v>
      </c>
      <c r="F76">
        <v>451037</v>
      </c>
      <c r="G76">
        <v>46014</v>
      </c>
      <c r="H76" t="str">
        <v>אבוקדו</v>
      </c>
      <c r="I76">
        <v>10</v>
      </c>
      <c r="J76">
        <v>60</v>
      </c>
      <c r="K76">
        <v>600</v>
      </c>
    </row>
    <row r="77">
      <c r="D77" t="str">
        <v>70646</v>
      </c>
      <c r="E77" t="str">
        <v>קינג קונג קריות(קינג קונג בע"מ)</v>
      </c>
      <c r="F77">
        <v>451246</v>
      </c>
      <c r="G77">
        <v>46016</v>
      </c>
      <c r="H77" t="str">
        <v>אבוקדו</v>
      </c>
      <c r="I77">
        <v>10</v>
      </c>
      <c r="J77">
        <v>100</v>
      </c>
      <c r="K77">
        <v>1000</v>
      </c>
    </row>
    <row r="78">
      <c r="D78" t="str">
        <v>70646</v>
      </c>
      <c r="E78" t="str">
        <v>קינג קונג קריות(קינג קונג בע"מ)</v>
      </c>
      <c r="F78">
        <v>451369</v>
      </c>
      <c r="G78">
        <v>46019</v>
      </c>
      <c r="H78" t="str">
        <v>אבוקדו</v>
      </c>
      <c r="I78">
        <v>10</v>
      </c>
      <c r="J78">
        <v>60</v>
      </c>
      <c r="K78">
        <v>600</v>
      </c>
    </row>
    <row r="79">
      <c r="D79" t="str">
        <v>70646</v>
      </c>
      <c r="E79" t="str">
        <v>קינג קונג קריות(קינג קונג בע"מ)</v>
      </c>
      <c r="F79">
        <v>451594</v>
      </c>
      <c r="G79">
        <v>46021</v>
      </c>
      <c r="H79" t="str">
        <v>אבוקדו</v>
      </c>
      <c r="I79">
        <v>10</v>
      </c>
      <c r="J79">
        <v>70</v>
      </c>
      <c r="K79">
        <v>700</v>
      </c>
    </row>
    <row r="80">
      <c r="J80">
        <f>SUM(J5:J79)</f>
        <v>3360</v>
      </c>
    </row>
    <row r="81">
      <c r="A81" t="str">
        <v>קינג קונג רעננה</v>
      </c>
      <c r="B81" t="str">
        <v>70816</v>
      </c>
      <c r="C81">
        <v>724</v>
      </c>
    </row>
    <row r="82">
      <c r="D82" t="str">
        <v>70816</v>
      </c>
      <c r="E82" t="str">
        <v>קינג קונג רעננה</v>
      </c>
      <c r="F82">
        <v>810633</v>
      </c>
      <c r="G82">
        <v>45933</v>
      </c>
      <c r="H82" t="str">
        <v>בטטה</v>
      </c>
      <c r="I82">
        <v>5</v>
      </c>
      <c r="J82">
        <v>40</v>
      </c>
      <c r="K82">
        <v>200</v>
      </c>
    </row>
    <row r="83">
      <c r="D83" t="str">
        <v>70816</v>
      </c>
      <c r="E83" t="str">
        <v>קינג קונג רעננה</v>
      </c>
      <c r="F83">
        <v>810755</v>
      </c>
      <c r="G83">
        <v>45935</v>
      </c>
      <c r="H83" t="str">
        <v>בטטה</v>
      </c>
      <c r="I83">
        <v>5</v>
      </c>
      <c r="J83">
        <v>50</v>
      </c>
      <c r="K83">
        <v>250</v>
      </c>
    </row>
    <row r="84">
      <c r="D84" t="str">
        <v>70816</v>
      </c>
      <c r="E84" t="str">
        <v>קינג קונג רעננה</v>
      </c>
      <c r="F84">
        <v>1601</v>
      </c>
      <c r="G84">
        <v>45939</v>
      </c>
      <c r="H84" t="str">
        <v>בטטה</v>
      </c>
      <c r="I84">
        <v>5</v>
      </c>
      <c r="J84">
        <v>30</v>
      </c>
      <c r="K84">
        <v>150</v>
      </c>
    </row>
    <row r="85">
      <c r="D85" t="str">
        <v>70816</v>
      </c>
      <c r="E85" t="str">
        <v>קינג קונג רעננה</v>
      </c>
      <c r="F85">
        <v>1669</v>
      </c>
      <c r="G85">
        <v>45940</v>
      </c>
      <c r="H85" t="str">
        <v>בטטה</v>
      </c>
      <c r="I85">
        <v>5</v>
      </c>
      <c r="J85">
        <v>20</v>
      </c>
      <c r="K85">
        <v>100</v>
      </c>
    </row>
    <row r="86">
      <c r="D86" t="str">
        <v>70816</v>
      </c>
      <c r="E86" t="str">
        <v>קינג קונג רעננה</v>
      </c>
      <c r="F86">
        <v>1763</v>
      </c>
      <c r="G86">
        <v>45942</v>
      </c>
      <c r="H86" t="str">
        <v>בטטה</v>
      </c>
      <c r="I86">
        <v>5</v>
      </c>
      <c r="J86">
        <v>40</v>
      </c>
      <c r="K86">
        <v>200</v>
      </c>
    </row>
    <row r="87">
      <c r="D87" t="str">
        <v>70816</v>
      </c>
      <c r="E87" t="str">
        <v>קינג קונג רעננה</v>
      </c>
      <c r="F87">
        <v>1939</v>
      </c>
      <c r="G87">
        <v>45946</v>
      </c>
      <c r="H87" t="str">
        <v>בטטה</v>
      </c>
      <c r="I87">
        <v>5</v>
      </c>
      <c r="J87">
        <v>30</v>
      </c>
      <c r="K87">
        <v>150</v>
      </c>
    </row>
    <row r="88">
      <c r="D88" t="str">
        <v>70816</v>
      </c>
      <c r="E88" t="str">
        <v>קינג קונג רעננה</v>
      </c>
      <c r="F88">
        <v>2086</v>
      </c>
      <c r="G88">
        <v>45947</v>
      </c>
      <c r="H88" t="str">
        <v>בטטה</v>
      </c>
      <c r="I88">
        <v>5</v>
      </c>
      <c r="J88">
        <v>30</v>
      </c>
      <c r="K88">
        <v>150</v>
      </c>
    </row>
    <row r="89">
      <c r="D89" t="str">
        <v>70816</v>
      </c>
      <c r="E89" t="str">
        <v>קינג קונג רעננה</v>
      </c>
      <c r="F89">
        <v>2168</v>
      </c>
      <c r="G89">
        <v>45949</v>
      </c>
      <c r="H89" t="str">
        <v>בטטה</v>
      </c>
      <c r="I89">
        <v>5</v>
      </c>
      <c r="J89">
        <v>30</v>
      </c>
      <c r="K89">
        <v>150</v>
      </c>
    </row>
    <row r="90">
      <c r="D90" t="str">
        <v>70816</v>
      </c>
      <c r="E90" t="str">
        <v>קינג קונג רעננה</v>
      </c>
      <c r="F90">
        <v>2337</v>
      </c>
      <c r="G90">
        <v>45951</v>
      </c>
      <c r="H90" t="str">
        <v>בטטה</v>
      </c>
      <c r="I90">
        <v>5</v>
      </c>
      <c r="J90">
        <v>30</v>
      </c>
      <c r="K90">
        <v>150</v>
      </c>
    </row>
    <row r="91">
      <c r="D91" t="str">
        <v>70816</v>
      </c>
      <c r="E91" t="str">
        <v>קינג קונג רעננה</v>
      </c>
      <c r="F91">
        <v>2476</v>
      </c>
      <c r="G91">
        <v>45953</v>
      </c>
      <c r="H91" t="str">
        <v>בטטה</v>
      </c>
      <c r="I91">
        <v>5</v>
      </c>
      <c r="J91">
        <v>20</v>
      </c>
      <c r="K91">
        <v>100</v>
      </c>
    </row>
    <row r="92">
      <c r="D92" t="str">
        <v>70816</v>
      </c>
      <c r="E92" t="str">
        <v>קינג קונג רעננה</v>
      </c>
      <c r="F92">
        <v>2624</v>
      </c>
      <c r="G92">
        <v>45954</v>
      </c>
      <c r="H92" t="str">
        <v>בטטה</v>
      </c>
      <c r="I92">
        <v>5</v>
      </c>
      <c r="J92">
        <v>40</v>
      </c>
      <c r="K92">
        <v>200</v>
      </c>
    </row>
    <row r="93">
      <c r="D93" t="str">
        <v>70816</v>
      </c>
      <c r="E93" t="str">
        <v>קינג קונג רעננה</v>
      </c>
      <c r="F93">
        <v>2631</v>
      </c>
      <c r="G93">
        <v>45956</v>
      </c>
      <c r="H93" t="str">
        <v>בטטה</v>
      </c>
      <c r="I93">
        <v>5</v>
      </c>
      <c r="J93">
        <v>40</v>
      </c>
      <c r="K93">
        <v>200</v>
      </c>
    </row>
    <row r="94">
      <c r="D94" t="str">
        <v>70816</v>
      </c>
      <c r="E94" t="str">
        <v>קינג קונג רעננה</v>
      </c>
      <c r="F94">
        <v>2859</v>
      </c>
      <c r="G94">
        <v>45958</v>
      </c>
      <c r="H94" t="str">
        <v>בטטה</v>
      </c>
      <c r="I94">
        <v>5</v>
      </c>
      <c r="J94">
        <v>30</v>
      </c>
      <c r="K94">
        <v>150</v>
      </c>
    </row>
    <row r="95">
      <c r="D95" t="str">
        <v>70816</v>
      </c>
      <c r="E95" t="str">
        <v>קינג קונג רעננה</v>
      </c>
      <c r="F95">
        <v>3071</v>
      </c>
      <c r="G95">
        <v>45960</v>
      </c>
      <c r="H95" t="str">
        <v>בטטה</v>
      </c>
      <c r="I95">
        <v>5</v>
      </c>
      <c r="J95">
        <v>20</v>
      </c>
      <c r="K95">
        <v>100</v>
      </c>
    </row>
    <row r="96">
      <c r="D96" t="str">
        <v>70816</v>
      </c>
      <c r="E96" t="str">
        <v>קינג קונג רעננה</v>
      </c>
      <c r="F96">
        <v>9046</v>
      </c>
      <c r="G96">
        <v>45961</v>
      </c>
      <c r="H96" t="str">
        <v>בטטה</v>
      </c>
      <c r="I96">
        <v>5</v>
      </c>
      <c r="J96">
        <v>30</v>
      </c>
      <c r="K96">
        <v>150</v>
      </c>
    </row>
    <row r="97">
      <c r="D97" t="str">
        <v>70816</v>
      </c>
      <c r="E97" t="str">
        <v>קינג קונג רעננה</v>
      </c>
      <c r="F97">
        <v>9052</v>
      </c>
      <c r="G97">
        <v>45963</v>
      </c>
      <c r="H97" t="str">
        <v>בטטה</v>
      </c>
      <c r="I97">
        <v>5</v>
      </c>
      <c r="J97">
        <v>30</v>
      </c>
      <c r="K97">
        <v>150</v>
      </c>
    </row>
    <row r="98">
      <c r="D98" t="str">
        <v>70816</v>
      </c>
      <c r="E98" t="str">
        <v>קינג קונג רעננה</v>
      </c>
      <c r="F98">
        <v>447419</v>
      </c>
      <c r="G98">
        <v>45965</v>
      </c>
      <c r="H98" t="str">
        <v>בטטה</v>
      </c>
      <c r="I98">
        <v>5</v>
      </c>
      <c r="J98">
        <v>30</v>
      </c>
      <c r="K98">
        <v>150</v>
      </c>
    </row>
    <row r="99">
      <c r="D99" t="str">
        <v>70816</v>
      </c>
      <c r="E99" t="str">
        <v>קינג קונג רעננה</v>
      </c>
      <c r="F99">
        <v>447596</v>
      </c>
      <c r="G99">
        <v>45967</v>
      </c>
      <c r="H99" t="str">
        <v>בטטה</v>
      </c>
      <c r="I99">
        <v>5</v>
      </c>
      <c r="J99">
        <v>40</v>
      </c>
      <c r="K99">
        <v>200</v>
      </c>
    </row>
    <row r="100">
      <c r="D100" t="str">
        <v>70816</v>
      </c>
      <c r="E100" t="str">
        <v>קינג קונג רעננה</v>
      </c>
      <c r="F100">
        <v>447761</v>
      </c>
      <c r="G100">
        <v>45970</v>
      </c>
      <c r="H100" t="str">
        <v>בטטה</v>
      </c>
      <c r="I100">
        <v>5</v>
      </c>
      <c r="J100">
        <v>30</v>
      </c>
      <c r="K100">
        <v>150</v>
      </c>
    </row>
    <row r="101">
      <c r="D101" t="str">
        <v>70816</v>
      </c>
      <c r="E101" t="str">
        <v>קינג קונג רעננה</v>
      </c>
      <c r="F101">
        <v>448011</v>
      </c>
      <c r="G101">
        <v>45972</v>
      </c>
      <c r="H101" t="str">
        <v>בטטה</v>
      </c>
      <c r="I101">
        <v>5</v>
      </c>
      <c r="J101">
        <v>30</v>
      </c>
      <c r="K101">
        <v>150</v>
      </c>
    </row>
    <row r="102">
      <c r="D102" t="str">
        <v>70816</v>
      </c>
      <c r="E102" t="str">
        <v>קינג קונג רעננה</v>
      </c>
      <c r="F102">
        <v>448123</v>
      </c>
      <c r="G102">
        <v>45974</v>
      </c>
      <c r="H102" t="str">
        <v>בטטה</v>
      </c>
      <c r="I102">
        <v>5</v>
      </c>
      <c r="J102">
        <v>40</v>
      </c>
      <c r="K102">
        <v>200</v>
      </c>
    </row>
    <row r="103">
      <c r="D103" t="str">
        <v>70816</v>
      </c>
      <c r="E103" t="str">
        <v>קינג קונג רעננה</v>
      </c>
      <c r="F103">
        <v>448292</v>
      </c>
      <c r="G103">
        <v>45977</v>
      </c>
      <c r="H103" t="str">
        <v>בטטה</v>
      </c>
      <c r="I103">
        <v>5</v>
      </c>
      <c r="J103">
        <v>20</v>
      </c>
      <c r="K103">
        <v>100</v>
      </c>
    </row>
    <row r="104">
      <c r="D104" t="str">
        <v>70816</v>
      </c>
      <c r="E104" t="str">
        <v>קינג קונג רעננה</v>
      </c>
      <c r="F104">
        <v>448526</v>
      </c>
      <c r="G104">
        <v>45979</v>
      </c>
      <c r="H104" t="str">
        <v>בטטה</v>
      </c>
      <c r="I104">
        <v>5</v>
      </c>
      <c r="J104">
        <v>30</v>
      </c>
      <c r="K104">
        <v>150</v>
      </c>
    </row>
    <row r="105">
      <c r="D105" t="str">
        <v>70816</v>
      </c>
      <c r="E105" t="str">
        <v>קינג קונג רעננה</v>
      </c>
      <c r="F105">
        <v>448634</v>
      </c>
      <c r="G105">
        <v>45981</v>
      </c>
      <c r="H105" t="str">
        <v>בטטה</v>
      </c>
      <c r="I105">
        <v>5</v>
      </c>
      <c r="J105">
        <v>40</v>
      </c>
      <c r="K105">
        <v>200</v>
      </c>
    </row>
    <row r="106">
      <c r="D106" t="str">
        <v>70816</v>
      </c>
      <c r="E106" t="str">
        <v>קינג קונג רעננה</v>
      </c>
      <c r="F106">
        <v>448853</v>
      </c>
      <c r="G106">
        <v>45984</v>
      </c>
      <c r="H106" t="str">
        <v>בטטה</v>
      </c>
      <c r="I106">
        <v>5</v>
      </c>
      <c r="J106">
        <v>30</v>
      </c>
      <c r="K106">
        <v>150</v>
      </c>
    </row>
    <row r="107">
      <c r="D107" t="str">
        <v>70816</v>
      </c>
      <c r="E107" t="str">
        <v>קינג קונג רעננה</v>
      </c>
      <c r="F107">
        <v>448996</v>
      </c>
      <c r="G107">
        <v>45986</v>
      </c>
      <c r="H107" t="str">
        <v>בטטה</v>
      </c>
      <c r="I107">
        <v>5</v>
      </c>
      <c r="J107">
        <v>30</v>
      </c>
      <c r="K107">
        <v>150</v>
      </c>
    </row>
    <row r="108">
      <c r="D108" t="str">
        <v>70816</v>
      </c>
      <c r="E108" t="str">
        <v>קינג קונג רעננה</v>
      </c>
      <c r="F108">
        <v>449136</v>
      </c>
      <c r="G108">
        <v>45988</v>
      </c>
      <c r="H108" t="str">
        <v>בטטה</v>
      </c>
      <c r="I108">
        <v>5</v>
      </c>
      <c r="J108">
        <v>30</v>
      </c>
      <c r="K108">
        <v>150</v>
      </c>
    </row>
    <row r="109">
      <c r="D109" t="str">
        <v>70816</v>
      </c>
      <c r="E109" t="str">
        <v>קינג קונג רעננה</v>
      </c>
      <c r="F109">
        <v>449349</v>
      </c>
      <c r="G109">
        <v>45991</v>
      </c>
      <c r="H109" t="str">
        <v>בטטה</v>
      </c>
      <c r="I109">
        <v>5</v>
      </c>
      <c r="J109">
        <v>30</v>
      </c>
      <c r="K109">
        <v>150</v>
      </c>
    </row>
    <row r="110">
      <c r="D110" t="str">
        <v>70816</v>
      </c>
      <c r="E110" t="str">
        <v>קינג קונג רעננה</v>
      </c>
      <c r="F110">
        <v>449494</v>
      </c>
      <c r="G110">
        <v>45993</v>
      </c>
      <c r="H110" t="str">
        <v>בטטה</v>
      </c>
      <c r="I110">
        <v>5</v>
      </c>
      <c r="J110">
        <v>20</v>
      </c>
      <c r="K110">
        <v>100</v>
      </c>
    </row>
    <row r="111">
      <c r="D111" t="str">
        <v>70816</v>
      </c>
      <c r="E111" t="str">
        <v>קינג קונג רעננה</v>
      </c>
      <c r="F111">
        <v>449709</v>
      </c>
      <c r="G111">
        <v>45995</v>
      </c>
      <c r="H111" t="str">
        <v>בטטה</v>
      </c>
      <c r="I111">
        <v>5</v>
      </c>
      <c r="J111">
        <v>50</v>
      </c>
      <c r="K111">
        <v>250</v>
      </c>
    </row>
    <row r="112">
      <c r="D112" t="str">
        <v>70816</v>
      </c>
      <c r="E112" t="str">
        <v>קינג קונג רעננה</v>
      </c>
      <c r="F112">
        <v>449851</v>
      </c>
      <c r="G112">
        <v>45998</v>
      </c>
      <c r="H112" t="str">
        <v>בטטה</v>
      </c>
      <c r="I112">
        <v>5</v>
      </c>
      <c r="J112">
        <v>30</v>
      </c>
      <c r="K112">
        <v>150</v>
      </c>
    </row>
    <row r="113">
      <c r="D113" t="str">
        <v>70816</v>
      </c>
      <c r="E113" t="str">
        <v>קינג קונג רעננה</v>
      </c>
      <c r="F113">
        <v>450034</v>
      </c>
      <c r="G113">
        <v>46000</v>
      </c>
      <c r="H113" t="str">
        <v>בטטה</v>
      </c>
      <c r="I113">
        <v>5</v>
      </c>
      <c r="J113">
        <v>30</v>
      </c>
      <c r="K113">
        <v>150</v>
      </c>
    </row>
    <row r="114">
      <c r="D114" t="str">
        <v>70816</v>
      </c>
      <c r="E114" t="str">
        <v>קינג קונג רעננה</v>
      </c>
      <c r="F114">
        <v>450166</v>
      </c>
      <c r="G114">
        <v>46002</v>
      </c>
      <c r="H114" t="str">
        <v>בטטה</v>
      </c>
      <c r="I114">
        <v>5</v>
      </c>
      <c r="J114">
        <v>40</v>
      </c>
      <c r="K114">
        <v>200</v>
      </c>
    </row>
    <row r="115">
      <c r="D115" t="str">
        <v>70816</v>
      </c>
      <c r="E115" t="str">
        <v>קינג קונג רעננה</v>
      </c>
      <c r="F115">
        <v>450340</v>
      </c>
      <c r="G115">
        <v>46005</v>
      </c>
      <c r="H115" t="str">
        <v>בטטה</v>
      </c>
      <c r="I115">
        <v>5</v>
      </c>
      <c r="J115">
        <v>20</v>
      </c>
      <c r="K115">
        <v>100</v>
      </c>
    </row>
    <row r="116">
      <c r="D116" t="str">
        <v>70816</v>
      </c>
      <c r="E116" t="str">
        <v>קינג קונג רעננה</v>
      </c>
      <c r="F116">
        <v>450498</v>
      </c>
      <c r="G116">
        <v>46007</v>
      </c>
      <c r="H116" t="str">
        <v>בטטה</v>
      </c>
      <c r="I116">
        <v>5</v>
      </c>
      <c r="J116">
        <v>40</v>
      </c>
      <c r="K116">
        <v>200</v>
      </c>
    </row>
    <row r="117">
      <c r="D117" t="str">
        <v>70816</v>
      </c>
      <c r="E117" t="str">
        <v>קינג קונג רעננה</v>
      </c>
      <c r="F117">
        <v>450709</v>
      </c>
      <c r="G117">
        <v>46009</v>
      </c>
      <c r="H117" t="str">
        <v>בטטה</v>
      </c>
      <c r="I117">
        <v>5</v>
      </c>
      <c r="J117">
        <v>50</v>
      </c>
      <c r="K117">
        <v>250</v>
      </c>
    </row>
    <row r="118">
      <c r="D118" t="str">
        <v>70816</v>
      </c>
      <c r="E118" t="str">
        <v>קינג קונג רעננה</v>
      </c>
      <c r="F118">
        <v>450859</v>
      </c>
      <c r="G118">
        <v>46012</v>
      </c>
      <c r="H118" t="str">
        <v>בטטה</v>
      </c>
      <c r="I118">
        <v>5</v>
      </c>
      <c r="J118">
        <v>30</v>
      </c>
      <c r="K118">
        <v>150</v>
      </c>
    </row>
    <row r="119">
      <c r="D119" t="str">
        <v>70816</v>
      </c>
      <c r="E119" t="str">
        <v>קינג קונג רעננה</v>
      </c>
      <c r="F119">
        <v>451050</v>
      </c>
      <c r="G119">
        <v>46014</v>
      </c>
      <c r="H119" t="str">
        <v>בטטה</v>
      </c>
      <c r="I119">
        <v>5</v>
      </c>
      <c r="J119">
        <v>30</v>
      </c>
      <c r="K119">
        <v>150</v>
      </c>
    </row>
    <row r="120">
      <c r="D120" t="str">
        <v>70816</v>
      </c>
      <c r="E120" t="str">
        <v>קינג קונג רעננה</v>
      </c>
      <c r="F120">
        <v>451190</v>
      </c>
      <c r="G120">
        <v>46016</v>
      </c>
      <c r="H120" t="str">
        <v>בטטה</v>
      </c>
      <c r="I120">
        <v>5</v>
      </c>
      <c r="J120">
        <v>40</v>
      </c>
      <c r="K120">
        <v>200</v>
      </c>
    </row>
    <row r="121">
      <c r="D121" t="str">
        <v>70816</v>
      </c>
      <c r="E121" t="str">
        <v>קינג קונג רעננה</v>
      </c>
      <c r="F121">
        <v>451384</v>
      </c>
      <c r="G121">
        <v>46019</v>
      </c>
      <c r="H121" t="str">
        <v>בטטה</v>
      </c>
      <c r="I121">
        <v>5</v>
      </c>
      <c r="J121">
        <v>30</v>
      </c>
      <c r="K121">
        <v>150</v>
      </c>
    </row>
    <row r="122">
      <c r="D122" t="str">
        <v>70816</v>
      </c>
      <c r="E122" t="str">
        <v>קינג קונג רעננה</v>
      </c>
      <c r="F122">
        <v>451525</v>
      </c>
      <c r="G122">
        <v>46021</v>
      </c>
      <c r="H122" t="str">
        <v>בטטה</v>
      </c>
      <c r="I122">
        <v>5</v>
      </c>
      <c r="J122">
        <v>30</v>
      </c>
      <c r="K122">
        <v>150</v>
      </c>
    </row>
    <row r="123">
      <c r="D123" t="str">
        <v>70816</v>
      </c>
      <c r="E123" t="str">
        <v>קינג קונג רעננה</v>
      </c>
      <c r="F123">
        <v>810633</v>
      </c>
      <c r="G123">
        <v>45933</v>
      </c>
      <c r="H123" t="str">
        <v>אבוקדו</v>
      </c>
      <c r="I123">
        <v>11.5</v>
      </c>
      <c r="J123">
        <v>60</v>
      </c>
      <c r="K123">
        <v>690</v>
      </c>
    </row>
    <row r="124">
      <c r="D124" t="str">
        <v>70816</v>
      </c>
      <c r="E124" t="str">
        <v>קינג קונג רעננה</v>
      </c>
      <c r="F124">
        <v>810755</v>
      </c>
      <c r="G124">
        <v>45935</v>
      </c>
      <c r="H124" t="str">
        <v>אבוקדו</v>
      </c>
      <c r="I124">
        <v>11.5</v>
      </c>
      <c r="J124">
        <v>80</v>
      </c>
      <c r="K124">
        <v>920</v>
      </c>
    </row>
    <row r="125">
      <c r="D125" t="str">
        <v>70816</v>
      </c>
      <c r="E125" t="str">
        <v>קינג קונג רעננה</v>
      </c>
      <c r="F125">
        <v>1601</v>
      </c>
      <c r="G125">
        <v>45939</v>
      </c>
      <c r="H125" t="str">
        <v>אבוקדו</v>
      </c>
      <c r="I125">
        <v>10</v>
      </c>
      <c r="J125">
        <v>90</v>
      </c>
      <c r="K125">
        <v>900</v>
      </c>
    </row>
    <row r="126">
      <c r="D126" t="str">
        <v>70816</v>
      </c>
      <c r="E126" t="str">
        <v>קינג קונג רעננה</v>
      </c>
      <c r="F126">
        <v>1669</v>
      </c>
      <c r="G126">
        <v>45940</v>
      </c>
      <c r="H126" t="str">
        <v>אבוקדו</v>
      </c>
      <c r="I126">
        <v>10</v>
      </c>
      <c r="J126">
        <v>20</v>
      </c>
      <c r="K126">
        <v>200</v>
      </c>
    </row>
    <row r="127">
      <c r="D127" t="str">
        <v>70816</v>
      </c>
      <c r="E127" t="str">
        <v>קינג קונג רעננה</v>
      </c>
      <c r="F127">
        <v>1763</v>
      </c>
      <c r="G127">
        <v>45942</v>
      </c>
      <c r="H127" t="str">
        <v>אבוקדו</v>
      </c>
      <c r="I127">
        <v>10</v>
      </c>
      <c r="J127">
        <v>40</v>
      </c>
      <c r="K127">
        <v>400</v>
      </c>
    </row>
    <row r="128">
      <c r="D128" t="str">
        <v>70816</v>
      </c>
      <c r="E128" t="str">
        <v>קינג קונג רעננה</v>
      </c>
      <c r="F128">
        <v>1939</v>
      </c>
      <c r="G128">
        <v>45946</v>
      </c>
      <c r="H128" t="str">
        <v>אבוקדו</v>
      </c>
      <c r="I128">
        <v>10</v>
      </c>
      <c r="J128">
        <v>30</v>
      </c>
      <c r="K128">
        <v>300</v>
      </c>
    </row>
    <row r="129">
      <c r="D129" t="str">
        <v>70816</v>
      </c>
      <c r="E129" t="str">
        <v>קינג קונג רעננה</v>
      </c>
      <c r="F129">
        <v>2086</v>
      </c>
      <c r="G129">
        <v>45947</v>
      </c>
      <c r="H129" t="str">
        <v>אבוקדו</v>
      </c>
      <c r="I129">
        <v>10</v>
      </c>
      <c r="J129">
        <v>60</v>
      </c>
      <c r="K129">
        <v>600</v>
      </c>
    </row>
    <row r="130">
      <c r="D130" t="str">
        <v>70816</v>
      </c>
      <c r="E130" t="str">
        <v>קינג קונג רעננה</v>
      </c>
      <c r="F130">
        <v>2168</v>
      </c>
      <c r="G130">
        <v>45949</v>
      </c>
      <c r="H130" t="str">
        <v>אבוקדו</v>
      </c>
      <c r="I130">
        <v>10</v>
      </c>
      <c r="J130">
        <v>50</v>
      </c>
      <c r="K130">
        <v>500</v>
      </c>
    </row>
    <row r="131">
      <c r="D131" t="str">
        <v>70816</v>
      </c>
      <c r="E131" t="str">
        <v>קינג קונג רעננה</v>
      </c>
      <c r="F131">
        <v>2337</v>
      </c>
      <c r="G131">
        <v>45951</v>
      </c>
      <c r="H131" t="str">
        <v>אבוקדו</v>
      </c>
      <c r="I131">
        <v>10</v>
      </c>
      <c r="J131">
        <v>50</v>
      </c>
      <c r="K131">
        <v>500</v>
      </c>
    </row>
    <row r="132">
      <c r="D132" t="str">
        <v>70816</v>
      </c>
      <c r="E132" t="str">
        <v>קינג קונג רעננה</v>
      </c>
      <c r="F132">
        <v>2476</v>
      </c>
      <c r="G132">
        <v>45953</v>
      </c>
      <c r="H132" t="str">
        <v>אבוקדו</v>
      </c>
      <c r="I132">
        <v>10</v>
      </c>
      <c r="J132">
        <v>30</v>
      </c>
      <c r="K132">
        <v>300</v>
      </c>
    </row>
    <row r="133">
      <c r="D133" t="str">
        <v>70816</v>
      </c>
      <c r="E133" t="str">
        <v>קינג קונג רעננה</v>
      </c>
      <c r="F133">
        <v>2624</v>
      </c>
      <c r="G133">
        <v>45954</v>
      </c>
      <c r="H133" t="str">
        <v>אבוקדו</v>
      </c>
      <c r="I133">
        <v>10</v>
      </c>
      <c r="J133">
        <v>70</v>
      </c>
      <c r="K133">
        <v>700</v>
      </c>
    </row>
    <row r="134">
      <c r="D134" t="str">
        <v>70816</v>
      </c>
      <c r="E134" t="str">
        <v>קינג קונג רעננה</v>
      </c>
      <c r="F134">
        <v>2631</v>
      </c>
      <c r="G134">
        <v>45956</v>
      </c>
      <c r="H134" t="str">
        <v>אבוקדו</v>
      </c>
      <c r="I134">
        <v>10</v>
      </c>
      <c r="J134">
        <v>50</v>
      </c>
      <c r="K134">
        <v>500</v>
      </c>
    </row>
    <row r="135">
      <c r="D135" t="str">
        <v>70816</v>
      </c>
      <c r="E135" t="str">
        <v>קינג קונג רעננה</v>
      </c>
      <c r="F135">
        <v>2859</v>
      </c>
      <c r="G135">
        <v>45958</v>
      </c>
      <c r="H135" t="str">
        <v>אבוקדו</v>
      </c>
      <c r="I135">
        <v>10</v>
      </c>
      <c r="J135">
        <v>50</v>
      </c>
      <c r="K135">
        <v>500</v>
      </c>
    </row>
    <row r="136">
      <c r="D136" t="str">
        <v>70816</v>
      </c>
      <c r="E136" t="str">
        <v>קינג קונג רעננה</v>
      </c>
      <c r="F136">
        <v>3071</v>
      </c>
      <c r="G136">
        <v>45960</v>
      </c>
      <c r="H136" t="str">
        <v>אבוקדו</v>
      </c>
      <c r="I136">
        <v>10</v>
      </c>
      <c r="J136">
        <v>30</v>
      </c>
      <c r="K136">
        <v>300</v>
      </c>
    </row>
    <row r="137">
      <c r="D137" t="str">
        <v>70816</v>
      </c>
      <c r="E137" t="str">
        <v>קינג קונג רעננה</v>
      </c>
      <c r="F137">
        <v>9046</v>
      </c>
      <c r="G137">
        <v>45961</v>
      </c>
      <c r="H137" t="str">
        <v>אבוקדו</v>
      </c>
      <c r="I137">
        <v>10</v>
      </c>
      <c r="J137">
        <v>60</v>
      </c>
      <c r="K137">
        <v>600</v>
      </c>
    </row>
    <row r="138">
      <c r="D138" t="str">
        <v>70816</v>
      </c>
      <c r="E138" t="str">
        <v>קינג קונג רעננה</v>
      </c>
      <c r="F138">
        <v>9052</v>
      </c>
      <c r="G138">
        <v>45963</v>
      </c>
      <c r="H138" t="str">
        <v>אבוקדו</v>
      </c>
      <c r="I138">
        <v>10</v>
      </c>
      <c r="J138">
        <v>50</v>
      </c>
      <c r="K138">
        <v>500</v>
      </c>
    </row>
    <row r="139">
      <c r="D139" t="str">
        <v>70816</v>
      </c>
      <c r="E139" t="str">
        <v>קינג קונג רעננה</v>
      </c>
      <c r="F139">
        <v>447419</v>
      </c>
      <c r="G139">
        <v>45965</v>
      </c>
      <c r="H139" t="str">
        <v>אבוקדו</v>
      </c>
      <c r="I139">
        <v>10</v>
      </c>
      <c r="J139">
        <v>40</v>
      </c>
      <c r="K139">
        <v>400</v>
      </c>
    </row>
    <row r="140">
      <c r="D140" t="str">
        <v>70816</v>
      </c>
      <c r="E140" t="str">
        <v>קינג קונג רעננה</v>
      </c>
      <c r="F140">
        <v>447596</v>
      </c>
      <c r="G140">
        <v>45967</v>
      </c>
      <c r="H140" t="str">
        <v>אבוקדו</v>
      </c>
      <c r="I140">
        <v>10</v>
      </c>
      <c r="J140">
        <v>90</v>
      </c>
      <c r="K140">
        <v>900</v>
      </c>
    </row>
    <row r="141">
      <c r="D141" t="str">
        <v>70816</v>
      </c>
      <c r="E141" t="str">
        <v>קינג קונג רעננה</v>
      </c>
      <c r="F141">
        <v>447761</v>
      </c>
      <c r="G141">
        <v>45970</v>
      </c>
      <c r="H141" t="str">
        <v>אבוקדו</v>
      </c>
      <c r="I141">
        <v>10</v>
      </c>
      <c r="J141">
        <v>50</v>
      </c>
      <c r="K141">
        <v>500</v>
      </c>
    </row>
    <row r="142">
      <c r="D142" t="str">
        <v>70816</v>
      </c>
      <c r="E142" t="str">
        <v>קינג קונג רעננה</v>
      </c>
      <c r="F142">
        <v>448011</v>
      </c>
      <c r="G142">
        <v>45972</v>
      </c>
      <c r="H142" t="str">
        <v>אבוקדו</v>
      </c>
      <c r="I142">
        <v>10</v>
      </c>
      <c r="J142">
        <v>50</v>
      </c>
      <c r="K142">
        <v>500</v>
      </c>
    </row>
    <row r="143">
      <c r="D143" t="str">
        <v>70816</v>
      </c>
      <c r="E143" t="str">
        <v>קינג קונג רעננה</v>
      </c>
      <c r="F143">
        <v>448123</v>
      </c>
      <c r="G143">
        <v>45974</v>
      </c>
      <c r="H143" t="str">
        <v>אבוקדו</v>
      </c>
      <c r="I143">
        <v>10</v>
      </c>
      <c r="J143">
        <v>80</v>
      </c>
      <c r="K143">
        <v>800</v>
      </c>
    </row>
    <row r="144">
      <c r="D144" t="str">
        <v>70816</v>
      </c>
      <c r="E144" t="str">
        <v>קינג קונג רעננה</v>
      </c>
      <c r="F144">
        <v>448292</v>
      </c>
      <c r="G144">
        <v>45977</v>
      </c>
      <c r="H144" t="str">
        <v>אבוקדו</v>
      </c>
      <c r="I144">
        <v>10</v>
      </c>
      <c r="J144">
        <v>30</v>
      </c>
      <c r="K144">
        <v>300</v>
      </c>
    </row>
    <row r="145">
      <c r="D145" t="str">
        <v>70816</v>
      </c>
      <c r="E145" t="str">
        <v>קינג קונג רעננה</v>
      </c>
      <c r="F145">
        <v>448526</v>
      </c>
      <c r="G145">
        <v>45979</v>
      </c>
      <c r="H145" t="str">
        <v>אבוקדו</v>
      </c>
      <c r="I145">
        <v>10</v>
      </c>
      <c r="J145">
        <v>30</v>
      </c>
      <c r="K145">
        <v>300</v>
      </c>
    </row>
    <row r="146">
      <c r="D146" t="str">
        <v>70816</v>
      </c>
      <c r="E146" t="str">
        <v>קינג קונג רעננה</v>
      </c>
      <c r="F146">
        <v>448634</v>
      </c>
      <c r="G146">
        <v>45981</v>
      </c>
      <c r="H146" t="str">
        <v>אבוקדו</v>
      </c>
      <c r="I146">
        <v>10</v>
      </c>
      <c r="J146">
        <v>70</v>
      </c>
      <c r="K146">
        <v>700</v>
      </c>
    </row>
    <row r="147">
      <c r="D147" t="str">
        <v>70816</v>
      </c>
      <c r="E147" t="str">
        <v>קינג קונג רעננה</v>
      </c>
      <c r="F147">
        <v>448853</v>
      </c>
      <c r="G147">
        <v>45984</v>
      </c>
      <c r="H147" t="str">
        <v>אבוקדו</v>
      </c>
      <c r="I147">
        <v>10</v>
      </c>
      <c r="J147">
        <v>50</v>
      </c>
      <c r="K147">
        <v>500</v>
      </c>
    </row>
    <row r="148">
      <c r="D148" t="str">
        <v>70816</v>
      </c>
      <c r="E148" t="str">
        <v>קינג קונג רעננה</v>
      </c>
      <c r="F148">
        <v>448996</v>
      </c>
      <c r="G148">
        <v>45986</v>
      </c>
      <c r="H148" t="str">
        <v>אבוקדו</v>
      </c>
      <c r="I148">
        <v>10</v>
      </c>
      <c r="J148">
        <v>50</v>
      </c>
      <c r="K148">
        <v>500</v>
      </c>
    </row>
    <row r="149">
      <c r="D149" t="str">
        <v>70816</v>
      </c>
      <c r="E149" t="str">
        <v>קינג קונג רעננה</v>
      </c>
      <c r="F149">
        <v>449136</v>
      </c>
      <c r="G149">
        <v>45988</v>
      </c>
      <c r="H149" t="str">
        <v>אבוקדו</v>
      </c>
      <c r="I149">
        <v>10</v>
      </c>
      <c r="J149">
        <v>80</v>
      </c>
      <c r="K149">
        <v>800</v>
      </c>
    </row>
    <row r="150">
      <c r="D150" t="str">
        <v>70816</v>
      </c>
      <c r="E150" t="str">
        <v>קינג קונג רעננה</v>
      </c>
      <c r="F150">
        <v>449349</v>
      </c>
      <c r="G150">
        <v>45991</v>
      </c>
      <c r="H150" t="str">
        <v>אבוקדו</v>
      </c>
      <c r="I150">
        <v>10</v>
      </c>
      <c r="J150">
        <v>50</v>
      </c>
      <c r="K150">
        <v>500</v>
      </c>
    </row>
    <row r="151">
      <c r="D151" t="str">
        <v>70816</v>
      </c>
      <c r="E151" t="str">
        <v>קינג קונג רעננה</v>
      </c>
      <c r="F151">
        <v>449494</v>
      </c>
      <c r="G151">
        <v>45993</v>
      </c>
      <c r="H151" t="str">
        <v>אבוקדו</v>
      </c>
      <c r="I151">
        <v>10</v>
      </c>
      <c r="J151">
        <v>40</v>
      </c>
      <c r="K151">
        <v>400</v>
      </c>
    </row>
    <row r="152">
      <c r="D152" t="str">
        <v>70816</v>
      </c>
      <c r="E152" t="str">
        <v>קינג קונג רעננה</v>
      </c>
      <c r="F152">
        <v>449709</v>
      </c>
      <c r="G152">
        <v>45995</v>
      </c>
      <c r="H152" t="str">
        <v>אבוקדו</v>
      </c>
      <c r="I152">
        <v>10</v>
      </c>
      <c r="J152">
        <v>80</v>
      </c>
      <c r="K152">
        <v>800</v>
      </c>
    </row>
    <row r="153">
      <c r="D153" t="str">
        <v>70816</v>
      </c>
      <c r="E153" t="str">
        <v>קינג קונג רעננה</v>
      </c>
      <c r="F153">
        <v>449851</v>
      </c>
      <c r="G153">
        <v>45998</v>
      </c>
      <c r="H153" t="str">
        <v>אבוקדו</v>
      </c>
      <c r="I153">
        <v>10</v>
      </c>
      <c r="J153">
        <v>40</v>
      </c>
      <c r="K153">
        <v>400</v>
      </c>
    </row>
    <row r="154">
      <c r="D154" t="str">
        <v>70816</v>
      </c>
      <c r="E154" t="str">
        <v>קינג קונג רעננה</v>
      </c>
      <c r="F154">
        <v>450034</v>
      </c>
      <c r="G154">
        <v>46000</v>
      </c>
      <c r="H154" t="str">
        <v>אבוקדו</v>
      </c>
      <c r="I154">
        <v>10</v>
      </c>
      <c r="J154">
        <v>50</v>
      </c>
      <c r="K154">
        <v>500</v>
      </c>
    </row>
    <row r="155">
      <c r="D155" t="str">
        <v>70816</v>
      </c>
      <c r="E155" t="str">
        <v>קינג קונג רעננה</v>
      </c>
      <c r="F155">
        <v>450166</v>
      </c>
      <c r="G155">
        <v>46002</v>
      </c>
      <c r="H155" t="str">
        <v>אבוקדו</v>
      </c>
      <c r="I155">
        <v>10</v>
      </c>
      <c r="J155">
        <v>80</v>
      </c>
      <c r="K155">
        <v>800</v>
      </c>
    </row>
    <row r="156">
      <c r="D156" t="str">
        <v>70816</v>
      </c>
      <c r="E156" t="str">
        <v>קינג קונג רעננה</v>
      </c>
      <c r="F156">
        <v>450340</v>
      </c>
      <c r="G156">
        <v>46005</v>
      </c>
      <c r="H156" t="str">
        <v>אבוקדו</v>
      </c>
      <c r="I156">
        <v>10</v>
      </c>
      <c r="J156">
        <v>60</v>
      </c>
      <c r="K156">
        <v>600</v>
      </c>
    </row>
    <row r="157">
      <c r="D157" t="str">
        <v>70816</v>
      </c>
      <c r="E157" t="str">
        <v>קינג קונג רעננה</v>
      </c>
      <c r="F157">
        <v>450498</v>
      </c>
      <c r="G157">
        <v>46007</v>
      </c>
      <c r="H157" t="str">
        <v>אבוקדו</v>
      </c>
      <c r="I157">
        <v>10</v>
      </c>
      <c r="J157">
        <v>50</v>
      </c>
      <c r="K157">
        <v>500</v>
      </c>
    </row>
    <row r="158">
      <c r="D158" t="str">
        <v>70816</v>
      </c>
      <c r="E158" t="str">
        <v>קינג קונג רעננה</v>
      </c>
      <c r="F158">
        <v>450709</v>
      </c>
      <c r="G158">
        <v>46009</v>
      </c>
      <c r="H158" t="str">
        <v>אבוקדו</v>
      </c>
      <c r="I158">
        <v>10</v>
      </c>
      <c r="J158">
        <v>80</v>
      </c>
      <c r="K158">
        <v>800</v>
      </c>
    </row>
    <row r="159">
      <c r="D159" t="str">
        <v>70816</v>
      </c>
      <c r="E159" t="str">
        <v>קינג קונג רעננה</v>
      </c>
      <c r="F159">
        <v>450859</v>
      </c>
      <c r="G159">
        <v>46012</v>
      </c>
      <c r="H159" t="str">
        <v>אבוקדו</v>
      </c>
      <c r="I159">
        <v>10</v>
      </c>
      <c r="J159">
        <v>50</v>
      </c>
      <c r="K159">
        <v>500</v>
      </c>
    </row>
    <row r="160">
      <c r="D160" t="str">
        <v>70816</v>
      </c>
      <c r="E160" t="str">
        <v>קינג קונג רעננה</v>
      </c>
      <c r="F160">
        <v>451050</v>
      </c>
      <c r="G160">
        <v>46014</v>
      </c>
      <c r="H160" t="str">
        <v>אבוקדו</v>
      </c>
      <c r="I160">
        <v>10</v>
      </c>
      <c r="J160">
        <v>50</v>
      </c>
      <c r="K160">
        <v>500</v>
      </c>
    </row>
    <row r="161">
      <c r="D161" t="str">
        <v>70816</v>
      </c>
      <c r="E161" t="str">
        <v>קינג קונג רעננה</v>
      </c>
      <c r="F161">
        <v>451190</v>
      </c>
      <c r="G161">
        <v>46016</v>
      </c>
      <c r="H161" t="str">
        <v>אבוקדו</v>
      </c>
      <c r="I161">
        <v>10</v>
      </c>
      <c r="J161">
        <v>70</v>
      </c>
      <c r="K161">
        <v>700</v>
      </c>
    </row>
    <row r="162">
      <c r="D162" t="str">
        <v>70816</v>
      </c>
      <c r="E162" t="str">
        <v>קינג קונג רעננה</v>
      </c>
      <c r="F162">
        <v>451384</v>
      </c>
      <c r="G162">
        <v>46019</v>
      </c>
      <c r="H162" t="str">
        <v>אבוקדו</v>
      </c>
      <c r="I162">
        <v>10</v>
      </c>
      <c r="J162">
        <v>40</v>
      </c>
      <c r="K162">
        <v>400</v>
      </c>
    </row>
    <row r="163">
      <c r="D163" t="str">
        <v>70816</v>
      </c>
      <c r="E163" t="str">
        <v>קינג קונג רעננה</v>
      </c>
      <c r="F163">
        <v>451525</v>
      </c>
      <c r="G163">
        <v>46021</v>
      </c>
      <c r="H163" t="str">
        <v>אבוקדו</v>
      </c>
      <c r="I163">
        <v>10</v>
      </c>
      <c r="J163">
        <v>50</v>
      </c>
      <c r="K163">
        <v>500</v>
      </c>
    </row>
    <row r="164">
      <c r="J164">
        <f>SUM(J82:J163)</f>
        <v>3560</v>
      </c>
    </row>
    <row r="165">
      <c r="A165" t="str">
        <v>קינג קונג חיפה חורב</v>
      </c>
      <c r="B165" t="str">
        <v>70827</v>
      </c>
      <c r="C165">
        <v>724</v>
      </c>
    </row>
    <row r="166">
      <c r="D166" t="str">
        <v>70827</v>
      </c>
      <c r="E166" t="str">
        <v>קינג קונג חיפה חורב</v>
      </c>
      <c r="F166">
        <v>810697</v>
      </c>
      <c r="G166">
        <v>45935</v>
      </c>
      <c r="H166" t="str">
        <v>בטטה</v>
      </c>
      <c r="I166">
        <v>5</v>
      </c>
      <c r="J166">
        <v>30</v>
      </c>
      <c r="K166">
        <v>150</v>
      </c>
    </row>
    <row r="167">
      <c r="D167" t="str">
        <v>70827</v>
      </c>
      <c r="E167" t="str">
        <v>קינג קונג חיפה חורב</v>
      </c>
      <c r="F167">
        <v>1575</v>
      </c>
      <c r="G167">
        <v>45939</v>
      </c>
      <c r="H167" t="str">
        <v>בטטה</v>
      </c>
      <c r="I167">
        <v>5</v>
      </c>
      <c r="J167">
        <v>30</v>
      </c>
      <c r="K167">
        <v>150</v>
      </c>
    </row>
    <row r="168">
      <c r="D168" t="str">
        <v>70827</v>
      </c>
      <c r="E168" t="str">
        <v>קינג קונג חיפה חורב</v>
      </c>
      <c r="F168">
        <v>2022</v>
      </c>
      <c r="G168">
        <v>45946</v>
      </c>
      <c r="H168" t="str">
        <v>בטטה</v>
      </c>
      <c r="I168">
        <v>5</v>
      </c>
      <c r="J168">
        <v>40</v>
      </c>
      <c r="K168">
        <v>200</v>
      </c>
    </row>
    <row r="169">
      <c r="D169" t="str">
        <v>70827</v>
      </c>
      <c r="E169" t="str">
        <v>קינג קונג חיפה חורב</v>
      </c>
      <c r="F169">
        <v>2321</v>
      </c>
      <c r="G169">
        <v>45951</v>
      </c>
      <c r="H169" t="str">
        <v>בטטה</v>
      </c>
      <c r="I169">
        <v>5</v>
      </c>
      <c r="J169">
        <v>20</v>
      </c>
      <c r="K169">
        <v>100</v>
      </c>
    </row>
    <row r="170">
      <c r="D170" t="str">
        <v>70827</v>
      </c>
      <c r="E170" t="str">
        <v>קינג קונג חיפה חורב</v>
      </c>
      <c r="F170">
        <v>2528</v>
      </c>
      <c r="G170">
        <v>45953</v>
      </c>
      <c r="H170" t="str">
        <v>בטטה</v>
      </c>
      <c r="I170">
        <v>5</v>
      </c>
      <c r="J170">
        <v>10</v>
      </c>
      <c r="K170">
        <v>50</v>
      </c>
    </row>
    <row r="171">
      <c r="D171" t="str">
        <v>70827</v>
      </c>
      <c r="E171" t="str">
        <v>קינג קונג חיפה חורב</v>
      </c>
      <c r="F171">
        <v>2898</v>
      </c>
      <c r="G171">
        <v>45958</v>
      </c>
      <c r="H171" t="str">
        <v>בטטה</v>
      </c>
      <c r="I171">
        <v>5</v>
      </c>
      <c r="J171">
        <v>20</v>
      </c>
      <c r="K171">
        <v>100</v>
      </c>
    </row>
    <row r="172">
      <c r="D172" t="str">
        <v>70827</v>
      </c>
      <c r="E172" t="str">
        <v>קינג קונג חיפה חורב</v>
      </c>
      <c r="F172">
        <v>3050</v>
      </c>
      <c r="G172">
        <v>45960</v>
      </c>
      <c r="H172" t="str">
        <v>בטטה</v>
      </c>
      <c r="I172">
        <v>5</v>
      </c>
      <c r="J172">
        <v>10</v>
      </c>
      <c r="K172">
        <v>50</v>
      </c>
    </row>
    <row r="173">
      <c r="D173" t="str">
        <v>70827</v>
      </c>
      <c r="E173" t="str">
        <v>קינג קונג חיפה חורב</v>
      </c>
      <c r="F173">
        <v>9132</v>
      </c>
      <c r="G173">
        <v>45963</v>
      </c>
      <c r="H173" t="str">
        <v>בטטה</v>
      </c>
      <c r="I173">
        <v>5</v>
      </c>
      <c r="J173">
        <v>10</v>
      </c>
      <c r="K173">
        <v>50</v>
      </c>
    </row>
    <row r="174">
      <c r="D174" t="str">
        <v>70827</v>
      </c>
      <c r="E174" t="str">
        <v>קינג קונג חיפה חורב</v>
      </c>
      <c r="F174">
        <v>447489</v>
      </c>
      <c r="G174">
        <v>45965</v>
      </c>
      <c r="H174" t="str">
        <v>בטטה</v>
      </c>
      <c r="I174">
        <v>5</v>
      </c>
      <c r="J174">
        <v>20</v>
      </c>
      <c r="K174">
        <v>100</v>
      </c>
    </row>
    <row r="175">
      <c r="D175" t="str">
        <v>70827</v>
      </c>
      <c r="E175" t="str">
        <v>קינג קונג חיפה חורב</v>
      </c>
      <c r="F175">
        <v>447684</v>
      </c>
      <c r="G175">
        <v>45967</v>
      </c>
      <c r="H175" t="str">
        <v>בטטה</v>
      </c>
      <c r="I175">
        <v>5</v>
      </c>
      <c r="J175">
        <v>10</v>
      </c>
      <c r="K175">
        <v>50</v>
      </c>
    </row>
    <row r="176">
      <c r="D176" t="str">
        <v>70827</v>
      </c>
      <c r="E176" t="str">
        <v>קינג קונג חיפה חורב</v>
      </c>
      <c r="F176">
        <v>447837</v>
      </c>
      <c r="G176">
        <v>45970</v>
      </c>
      <c r="H176" t="str">
        <v>בטטה</v>
      </c>
      <c r="I176">
        <v>5</v>
      </c>
      <c r="J176">
        <v>10</v>
      </c>
      <c r="K176">
        <v>50</v>
      </c>
    </row>
    <row r="177">
      <c r="D177" t="str">
        <v>70827</v>
      </c>
      <c r="E177" t="str">
        <v>קינג קונג חיפה חורב</v>
      </c>
      <c r="F177">
        <v>447997</v>
      </c>
      <c r="G177">
        <v>45972</v>
      </c>
      <c r="H177" t="str">
        <v>בטטה</v>
      </c>
      <c r="I177">
        <v>5</v>
      </c>
      <c r="J177">
        <v>10</v>
      </c>
      <c r="K177">
        <v>50</v>
      </c>
    </row>
    <row r="178">
      <c r="D178" t="str">
        <v>70827</v>
      </c>
      <c r="E178" t="str">
        <v>קינג קונג חיפה חורב</v>
      </c>
      <c r="F178">
        <v>448178</v>
      </c>
      <c r="G178">
        <v>45974</v>
      </c>
      <c r="H178" t="str">
        <v>בטטה</v>
      </c>
      <c r="I178">
        <v>5</v>
      </c>
      <c r="J178">
        <v>10</v>
      </c>
      <c r="K178">
        <v>50</v>
      </c>
    </row>
    <row r="179">
      <c r="D179" t="str">
        <v>70827</v>
      </c>
      <c r="E179" t="str">
        <v>קינג קונג חיפה חורב</v>
      </c>
      <c r="F179">
        <v>448365</v>
      </c>
      <c r="G179">
        <v>45977</v>
      </c>
      <c r="H179" t="str">
        <v>בטטה</v>
      </c>
      <c r="I179">
        <v>5</v>
      </c>
      <c r="J179">
        <v>10</v>
      </c>
      <c r="K179">
        <v>50</v>
      </c>
    </row>
    <row r="180">
      <c r="D180" t="str">
        <v>70827</v>
      </c>
      <c r="E180" t="str">
        <v>קינג קונג חיפה חורב</v>
      </c>
      <c r="F180">
        <v>448511</v>
      </c>
      <c r="G180">
        <v>45979</v>
      </c>
      <c r="H180" t="str">
        <v>בטטה</v>
      </c>
      <c r="I180">
        <v>5</v>
      </c>
      <c r="J180">
        <v>10</v>
      </c>
      <c r="K180">
        <v>50</v>
      </c>
    </row>
    <row r="181">
      <c r="D181" t="str">
        <v>70827</v>
      </c>
      <c r="E181" t="str">
        <v>קינג קונג חיפה חורב</v>
      </c>
      <c r="F181">
        <v>448713</v>
      </c>
      <c r="G181">
        <v>45981</v>
      </c>
      <c r="H181" t="str">
        <v>בטטה</v>
      </c>
      <c r="I181">
        <v>5</v>
      </c>
      <c r="J181">
        <v>20</v>
      </c>
      <c r="K181">
        <v>100</v>
      </c>
    </row>
    <row r="182">
      <c r="D182" t="str">
        <v>70827</v>
      </c>
      <c r="E182" t="str">
        <v>קינג קונג חיפה חורב</v>
      </c>
      <c r="F182">
        <v>448836</v>
      </c>
      <c r="G182">
        <v>45984</v>
      </c>
      <c r="H182" t="str">
        <v>בטטה</v>
      </c>
      <c r="I182">
        <v>5</v>
      </c>
      <c r="J182">
        <v>20</v>
      </c>
      <c r="K182">
        <v>100</v>
      </c>
    </row>
    <row r="183">
      <c r="D183" t="str">
        <v>70827</v>
      </c>
      <c r="E183" t="str">
        <v>קינג קונג חיפה חורב</v>
      </c>
      <c r="F183">
        <v>449039</v>
      </c>
      <c r="G183">
        <v>45986</v>
      </c>
      <c r="H183" t="str">
        <v>בטטה</v>
      </c>
      <c r="I183">
        <v>5</v>
      </c>
      <c r="J183">
        <v>10</v>
      </c>
      <c r="K183">
        <v>50</v>
      </c>
    </row>
    <row r="184">
      <c r="D184" t="str">
        <v>70827</v>
      </c>
      <c r="E184" t="str">
        <v>קינג קונג חיפה חורב</v>
      </c>
      <c r="F184">
        <v>449209</v>
      </c>
      <c r="G184">
        <v>45988</v>
      </c>
      <c r="H184" t="str">
        <v>בטטה</v>
      </c>
      <c r="I184">
        <v>5</v>
      </c>
      <c r="J184">
        <v>20</v>
      </c>
      <c r="K184">
        <v>100</v>
      </c>
    </row>
    <row r="185">
      <c r="D185" t="str">
        <v>70827</v>
      </c>
      <c r="E185" t="str">
        <v>קינג קונג חיפה חורב</v>
      </c>
      <c r="F185">
        <v>449334</v>
      </c>
      <c r="G185">
        <v>45991</v>
      </c>
      <c r="H185" t="str">
        <v>בטטה</v>
      </c>
      <c r="I185">
        <v>5</v>
      </c>
      <c r="J185">
        <v>20</v>
      </c>
      <c r="K185">
        <v>100</v>
      </c>
    </row>
    <row r="186">
      <c r="D186" t="str">
        <v>70827</v>
      </c>
      <c r="E186" t="str">
        <v>קינג קונג חיפה חורב</v>
      </c>
      <c r="F186">
        <v>449536</v>
      </c>
      <c r="G186">
        <v>45993</v>
      </c>
      <c r="H186" t="str">
        <v>בטטה</v>
      </c>
      <c r="I186">
        <v>5</v>
      </c>
      <c r="J186">
        <v>20</v>
      </c>
      <c r="K186">
        <v>100</v>
      </c>
    </row>
    <row r="187">
      <c r="D187" t="str">
        <v>70827</v>
      </c>
      <c r="E187" t="str">
        <v>קינג קונג חיפה חורב</v>
      </c>
      <c r="F187">
        <v>449654</v>
      </c>
      <c r="G187">
        <v>45995</v>
      </c>
      <c r="H187" t="str">
        <v>בטטה</v>
      </c>
      <c r="I187">
        <v>5</v>
      </c>
      <c r="J187">
        <v>10</v>
      </c>
      <c r="K187">
        <v>50</v>
      </c>
    </row>
    <row r="188">
      <c r="D188" t="str">
        <v>70827</v>
      </c>
      <c r="E188" t="str">
        <v>קינג קונג חיפה חורב</v>
      </c>
      <c r="F188">
        <v>449835</v>
      </c>
      <c r="G188">
        <v>45998</v>
      </c>
      <c r="H188" t="str">
        <v>בטטה</v>
      </c>
      <c r="I188">
        <v>5</v>
      </c>
      <c r="J188">
        <v>40</v>
      </c>
      <c r="K188">
        <v>200</v>
      </c>
    </row>
    <row r="189">
      <c r="D189" t="str">
        <v>70827</v>
      </c>
      <c r="E189" t="str">
        <v>קינג קונג חיפה חורב</v>
      </c>
      <c r="F189">
        <v>449990</v>
      </c>
      <c r="G189">
        <v>46000</v>
      </c>
      <c r="H189" t="str">
        <v>בטטה</v>
      </c>
      <c r="I189">
        <v>5</v>
      </c>
      <c r="J189">
        <v>30</v>
      </c>
      <c r="K189">
        <v>150</v>
      </c>
    </row>
    <row r="190">
      <c r="D190" t="str">
        <v>70827</v>
      </c>
      <c r="E190" t="str">
        <v>קינג קונג חיפה חורב</v>
      </c>
      <c r="F190">
        <v>450326</v>
      </c>
      <c r="G190">
        <v>46005</v>
      </c>
      <c r="H190" t="str">
        <v>בטטה</v>
      </c>
      <c r="I190">
        <v>5</v>
      </c>
      <c r="J190">
        <v>40</v>
      </c>
      <c r="K190">
        <v>200</v>
      </c>
    </row>
    <row r="191">
      <c r="D191" t="str">
        <v>70827</v>
      </c>
      <c r="E191" t="str">
        <v>קינג קונג חיפה חורב</v>
      </c>
      <c r="F191">
        <v>450484</v>
      </c>
      <c r="G191">
        <v>46007</v>
      </c>
      <c r="H191" t="str">
        <v>בטטה</v>
      </c>
      <c r="I191">
        <v>5</v>
      </c>
      <c r="J191">
        <v>30</v>
      </c>
      <c r="K191">
        <v>150</v>
      </c>
    </row>
    <row r="192">
      <c r="D192" t="str">
        <v>70827</v>
      </c>
      <c r="E192" t="str">
        <v>קינג קונג חיפה חורב</v>
      </c>
      <c r="F192">
        <v>450656</v>
      </c>
      <c r="G192">
        <v>46009</v>
      </c>
      <c r="H192" t="str">
        <v>בטטה</v>
      </c>
      <c r="I192">
        <v>5</v>
      </c>
      <c r="J192">
        <v>20</v>
      </c>
      <c r="K192">
        <v>100</v>
      </c>
    </row>
    <row r="193">
      <c r="D193" t="str">
        <v>70827</v>
      </c>
      <c r="E193" t="str">
        <v>קינג קונג חיפה חורב</v>
      </c>
      <c r="F193">
        <v>450839</v>
      </c>
      <c r="G193">
        <v>46012</v>
      </c>
      <c r="H193" t="str">
        <v>בטטה</v>
      </c>
      <c r="I193">
        <v>5</v>
      </c>
      <c r="J193">
        <v>30</v>
      </c>
      <c r="K193">
        <v>150</v>
      </c>
    </row>
    <row r="194">
      <c r="D194" t="str">
        <v>70827</v>
      </c>
      <c r="E194" t="str">
        <v>קינג קונג חיפה חורב</v>
      </c>
      <c r="F194">
        <v>451036</v>
      </c>
      <c r="G194">
        <v>46014</v>
      </c>
      <c r="H194" t="str">
        <v>בטטה</v>
      </c>
      <c r="I194">
        <v>5</v>
      </c>
      <c r="J194">
        <v>20</v>
      </c>
      <c r="K194">
        <v>100</v>
      </c>
    </row>
    <row r="195">
      <c r="D195" t="str">
        <v>70827</v>
      </c>
      <c r="E195" t="str">
        <v>קינג קונג חיפה חורב</v>
      </c>
      <c r="F195">
        <v>451245</v>
      </c>
      <c r="G195">
        <v>46016</v>
      </c>
      <c r="H195" t="str">
        <v>בטטה</v>
      </c>
      <c r="I195">
        <v>5</v>
      </c>
      <c r="J195">
        <v>10</v>
      </c>
      <c r="K195">
        <v>50</v>
      </c>
    </row>
    <row r="196">
      <c r="D196" t="str">
        <v>70827</v>
      </c>
      <c r="E196" t="str">
        <v>קינג קונג חיפה חורב</v>
      </c>
      <c r="F196">
        <v>810697</v>
      </c>
      <c r="G196">
        <v>45935</v>
      </c>
      <c r="H196" t="str">
        <v>אבוקדו</v>
      </c>
      <c r="I196">
        <v>11.5</v>
      </c>
      <c r="J196">
        <v>30</v>
      </c>
      <c r="K196">
        <v>345</v>
      </c>
    </row>
    <row r="197">
      <c r="D197" t="str">
        <v>70827</v>
      </c>
      <c r="E197" t="str">
        <v>קינג קונג חיפה חורב</v>
      </c>
      <c r="F197">
        <v>1575</v>
      </c>
      <c r="G197">
        <v>45939</v>
      </c>
      <c r="H197" t="str">
        <v>אבוקדו</v>
      </c>
      <c r="I197">
        <v>10</v>
      </c>
      <c r="J197">
        <v>100</v>
      </c>
      <c r="K197">
        <v>1000</v>
      </c>
    </row>
    <row r="198">
      <c r="D198" t="str">
        <v>70827</v>
      </c>
      <c r="E198" t="str">
        <v>קינג קונג חיפה חורב</v>
      </c>
      <c r="F198">
        <v>1706</v>
      </c>
      <c r="G198">
        <v>45942</v>
      </c>
      <c r="H198" t="str">
        <v>אבוקדו</v>
      </c>
      <c r="I198">
        <v>10</v>
      </c>
      <c r="J198">
        <v>120</v>
      </c>
      <c r="K198">
        <v>1200</v>
      </c>
    </row>
    <row r="199">
      <c r="D199" t="str">
        <v>70827</v>
      </c>
      <c r="E199" t="str">
        <v>קינג קונג חיפה חורב</v>
      </c>
      <c r="F199">
        <v>2022</v>
      </c>
      <c r="G199">
        <v>45946</v>
      </c>
      <c r="H199" t="str">
        <v>אבוקדו</v>
      </c>
      <c r="I199">
        <v>10</v>
      </c>
      <c r="J199">
        <v>50</v>
      </c>
      <c r="K199">
        <v>500</v>
      </c>
    </row>
    <row r="200">
      <c r="D200" t="str">
        <v>70827</v>
      </c>
      <c r="E200" t="str">
        <v>קינג קונג חיפה חורב</v>
      </c>
      <c r="F200">
        <v>2321</v>
      </c>
      <c r="G200">
        <v>45951</v>
      </c>
      <c r="H200" t="str">
        <v>אבוקדו</v>
      </c>
      <c r="I200">
        <v>10</v>
      </c>
      <c r="J200">
        <v>40</v>
      </c>
      <c r="K200">
        <v>400</v>
      </c>
    </row>
    <row r="201">
      <c r="D201" t="str">
        <v>70827</v>
      </c>
      <c r="E201" t="str">
        <v>קינג קונג חיפה חורב</v>
      </c>
      <c r="F201">
        <v>2528</v>
      </c>
      <c r="G201">
        <v>45953</v>
      </c>
      <c r="H201" t="str">
        <v>אבוקדו</v>
      </c>
      <c r="I201">
        <v>10</v>
      </c>
      <c r="J201">
        <v>80</v>
      </c>
      <c r="K201">
        <v>800</v>
      </c>
    </row>
    <row r="202">
      <c r="D202" t="str">
        <v>70827</v>
      </c>
      <c r="E202" t="str">
        <v>קינג קונג חיפה חורב</v>
      </c>
      <c r="F202">
        <v>2711</v>
      </c>
      <c r="G202">
        <v>45956</v>
      </c>
      <c r="H202" t="str">
        <v>אבוקדו</v>
      </c>
      <c r="I202">
        <v>10</v>
      </c>
      <c r="J202">
        <v>30</v>
      </c>
      <c r="K202">
        <v>300</v>
      </c>
    </row>
    <row r="203">
      <c r="D203" t="str">
        <v>70827</v>
      </c>
      <c r="E203" t="str">
        <v>קינג קונג חיפה חורב</v>
      </c>
      <c r="F203">
        <v>2898</v>
      </c>
      <c r="G203">
        <v>45958</v>
      </c>
      <c r="H203" t="str">
        <v>אבוקדו</v>
      </c>
      <c r="I203">
        <v>10</v>
      </c>
      <c r="J203">
        <v>40</v>
      </c>
      <c r="K203">
        <v>400</v>
      </c>
    </row>
    <row r="204">
      <c r="D204" t="str">
        <v>70827</v>
      </c>
      <c r="E204" t="str">
        <v>קינג קונג חיפה חורב</v>
      </c>
      <c r="F204">
        <v>3050</v>
      </c>
      <c r="G204">
        <v>45960</v>
      </c>
      <c r="H204" t="str">
        <v>אבוקדו</v>
      </c>
      <c r="I204">
        <v>10</v>
      </c>
      <c r="J204">
        <v>70</v>
      </c>
      <c r="K204">
        <v>700</v>
      </c>
    </row>
    <row r="205">
      <c r="D205" t="str">
        <v>70827</v>
      </c>
      <c r="E205" t="str">
        <v>קינג קונג חיפה חורב</v>
      </c>
      <c r="F205">
        <v>9132</v>
      </c>
      <c r="G205">
        <v>45963</v>
      </c>
      <c r="H205" t="str">
        <v>אבוקדו</v>
      </c>
      <c r="I205">
        <v>10</v>
      </c>
      <c r="J205">
        <v>50</v>
      </c>
      <c r="K205">
        <v>500</v>
      </c>
    </row>
    <row r="206">
      <c r="D206" t="str">
        <v>70827</v>
      </c>
      <c r="E206" t="str">
        <v>קינג קונג חיפה חורב</v>
      </c>
      <c r="F206">
        <v>447489</v>
      </c>
      <c r="G206">
        <v>45965</v>
      </c>
      <c r="H206" t="str">
        <v>אבוקדו</v>
      </c>
      <c r="I206">
        <v>10</v>
      </c>
      <c r="J206">
        <v>60</v>
      </c>
      <c r="K206">
        <v>600</v>
      </c>
    </row>
    <row r="207">
      <c r="D207" t="str">
        <v>70827</v>
      </c>
      <c r="E207" t="str">
        <v>קינג קונג חיפה חורב</v>
      </c>
      <c r="F207">
        <v>447684</v>
      </c>
      <c r="G207">
        <v>45967</v>
      </c>
      <c r="H207" t="str">
        <v>אבוקדו</v>
      </c>
      <c r="I207">
        <v>10</v>
      </c>
      <c r="J207">
        <v>50</v>
      </c>
      <c r="K207">
        <v>500</v>
      </c>
    </row>
    <row r="208">
      <c r="D208" t="str">
        <v>70827</v>
      </c>
      <c r="E208" t="str">
        <v>קינג קונג חיפה חורב</v>
      </c>
      <c r="F208">
        <v>447837</v>
      </c>
      <c r="G208">
        <v>45970</v>
      </c>
      <c r="H208" t="str">
        <v>אבוקדו</v>
      </c>
      <c r="I208">
        <v>10</v>
      </c>
      <c r="J208">
        <v>40</v>
      </c>
      <c r="K208">
        <v>400</v>
      </c>
    </row>
    <row r="209">
      <c r="D209" t="str">
        <v>70827</v>
      </c>
      <c r="E209" t="str">
        <v>קינג קונג חיפה חורב</v>
      </c>
      <c r="F209">
        <v>447997</v>
      </c>
      <c r="G209">
        <v>45972</v>
      </c>
      <c r="H209" t="str">
        <v>אבוקדו</v>
      </c>
      <c r="I209">
        <v>10</v>
      </c>
      <c r="J209">
        <v>70</v>
      </c>
      <c r="K209">
        <v>700</v>
      </c>
    </row>
    <row r="210">
      <c r="D210" t="str">
        <v>70827</v>
      </c>
      <c r="E210" t="str">
        <v>קינג קונג חיפה חורב</v>
      </c>
      <c r="F210">
        <v>448178</v>
      </c>
      <c r="G210">
        <v>45974</v>
      </c>
      <c r="H210" t="str">
        <v>אבוקדו</v>
      </c>
      <c r="I210">
        <v>10</v>
      </c>
      <c r="J210">
        <v>70</v>
      </c>
      <c r="K210">
        <v>700</v>
      </c>
    </row>
    <row r="211">
      <c r="D211" t="str">
        <v>70827</v>
      </c>
      <c r="E211" t="str">
        <v>קינג קונג חיפה חורב</v>
      </c>
      <c r="F211">
        <v>448365</v>
      </c>
      <c r="G211">
        <v>45977</v>
      </c>
      <c r="H211" t="str">
        <v>אבוקדו</v>
      </c>
      <c r="I211">
        <v>10</v>
      </c>
      <c r="J211">
        <v>20</v>
      </c>
      <c r="K211">
        <v>200</v>
      </c>
    </row>
    <row r="212">
      <c r="D212" t="str">
        <v>70827</v>
      </c>
      <c r="E212" t="str">
        <v>קינג קונג חיפה חורב</v>
      </c>
      <c r="F212">
        <v>448511</v>
      </c>
      <c r="G212">
        <v>45979</v>
      </c>
      <c r="H212" t="str">
        <v>אבוקדו</v>
      </c>
      <c r="I212">
        <v>10</v>
      </c>
      <c r="J212">
        <v>30</v>
      </c>
      <c r="K212">
        <v>300</v>
      </c>
    </row>
    <row r="213">
      <c r="D213" t="str">
        <v>70827</v>
      </c>
      <c r="E213" t="str">
        <v>קינג קונג חיפה חורב</v>
      </c>
      <c r="F213">
        <v>448713</v>
      </c>
      <c r="G213">
        <v>45981</v>
      </c>
      <c r="H213" t="str">
        <v>אבוקדו</v>
      </c>
      <c r="I213">
        <v>10</v>
      </c>
      <c r="J213">
        <v>70</v>
      </c>
      <c r="K213">
        <v>700</v>
      </c>
    </row>
    <row r="214">
      <c r="D214" t="str">
        <v>70827</v>
      </c>
      <c r="E214" t="str">
        <v>קינג קונג חיפה חורב</v>
      </c>
      <c r="F214">
        <v>448836</v>
      </c>
      <c r="G214">
        <v>45984</v>
      </c>
      <c r="H214" t="str">
        <v>אבוקדו</v>
      </c>
      <c r="I214">
        <v>10</v>
      </c>
      <c r="J214">
        <v>70</v>
      </c>
      <c r="K214">
        <v>700</v>
      </c>
    </row>
    <row r="215">
      <c r="D215" t="str">
        <v>70827</v>
      </c>
      <c r="E215" t="str">
        <v>קינג קונג חיפה חורב</v>
      </c>
      <c r="F215">
        <v>449039</v>
      </c>
      <c r="G215">
        <v>45986</v>
      </c>
      <c r="H215" t="str">
        <v>אבוקדו</v>
      </c>
      <c r="I215">
        <v>10</v>
      </c>
      <c r="J215">
        <v>40</v>
      </c>
      <c r="K215">
        <v>400</v>
      </c>
    </row>
    <row r="216">
      <c r="D216" t="str">
        <v>70827</v>
      </c>
      <c r="E216" t="str">
        <v>קינג קונג חיפה חורב</v>
      </c>
      <c r="F216">
        <v>449209</v>
      </c>
      <c r="G216">
        <v>45988</v>
      </c>
      <c r="H216" t="str">
        <v>אבוקדו</v>
      </c>
      <c r="I216">
        <v>10</v>
      </c>
      <c r="J216">
        <v>50</v>
      </c>
      <c r="K216">
        <v>500</v>
      </c>
    </row>
    <row r="217">
      <c r="D217" t="str">
        <v>70827</v>
      </c>
      <c r="E217" t="str">
        <v>קינג קונג חיפה חורב</v>
      </c>
      <c r="F217">
        <v>449334</v>
      </c>
      <c r="G217">
        <v>45991</v>
      </c>
      <c r="H217" t="str">
        <v>אבוקדו</v>
      </c>
      <c r="I217">
        <v>10</v>
      </c>
      <c r="J217">
        <v>40</v>
      </c>
      <c r="K217">
        <v>400</v>
      </c>
    </row>
    <row r="218">
      <c r="D218" t="str">
        <v>70827</v>
      </c>
      <c r="E218" t="str">
        <v>קינג קונג חיפה חורב</v>
      </c>
      <c r="F218">
        <v>449536</v>
      </c>
      <c r="G218">
        <v>45993</v>
      </c>
      <c r="H218" t="str">
        <v>אבוקדו</v>
      </c>
      <c r="I218">
        <v>10</v>
      </c>
      <c r="J218">
        <v>30</v>
      </c>
      <c r="K218">
        <v>300</v>
      </c>
    </row>
    <row r="219">
      <c r="D219" t="str">
        <v>70827</v>
      </c>
      <c r="E219" t="str">
        <v>קינג קונג חיפה חורב</v>
      </c>
      <c r="F219">
        <v>449654</v>
      </c>
      <c r="G219">
        <v>45995</v>
      </c>
      <c r="H219" t="str">
        <v>אבוקדו</v>
      </c>
      <c r="I219">
        <v>10</v>
      </c>
      <c r="J219">
        <v>70</v>
      </c>
      <c r="K219">
        <v>700</v>
      </c>
    </row>
    <row r="220">
      <c r="D220" t="str">
        <v>70827</v>
      </c>
      <c r="E220" t="str">
        <v>קינג קונג חיפה חורב</v>
      </c>
      <c r="F220">
        <v>449835</v>
      </c>
      <c r="G220">
        <v>45998</v>
      </c>
      <c r="H220" t="str">
        <v>אבוקדו</v>
      </c>
      <c r="I220">
        <v>10</v>
      </c>
      <c r="J220">
        <v>50</v>
      </c>
      <c r="K220">
        <v>500</v>
      </c>
    </row>
    <row r="221">
      <c r="D221" t="str">
        <v>70827</v>
      </c>
      <c r="E221" t="str">
        <v>קינג קונג חיפה חורב</v>
      </c>
      <c r="F221">
        <v>449990</v>
      </c>
      <c r="G221">
        <v>46000</v>
      </c>
      <c r="H221" t="str">
        <v>אבוקדו</v>
      </c>
      <c r="I221">
        <v>10</v>
      </c>
      <c r="J221">
        <v>50</v>
      </c>
      <c r="K221">
        <v>500</v>
      </c>
    </row>
    <row r="222">
      <c r="D222" t="str">
        <v>70827</v>
      </c>
      <c r="E222" t="str">
        <v>קינג קונג חיפה חורב</v>
      </c>
      <c r="F222">
        <v>450148</v>
      </c>
      <c r="G222">
        <v>46002</v>
      </c>
      <c r="H222" t="str">
        <v>אבוקדו</v>
      </c>
      <c r="I222">
        <v>10</v>
      </c>
      <c r="J222">
        <v>40</v>
      </c>
      <c r="K222">
        <v>400</v>
      </c>
    </row>
    <row r="223">
      <c r="D223" t="str">
        <v>70827</v>
      </c>
      <c r="E223" t="str">
        <v>קינג קונג חיפה חורב</v>
      </c>
      <c r="F223">
        <v>450326</v>
      </c>
      <c r="G223">
        <v>46005</v>
      </c>
      <c r="H223" t="str">
        <v>אבוקדו</v>
      </c>
      <c r="I223">
        <v>10</v>
      </c>
      <c r="J223">
        <v>50</v>
      </c>
      <c r="K223">
        <v>500</v>
      </c>
    </row>
    <row r="224">
      <c r="D224" t="str">
        <v>70827</v>
      </c>
      <c r="E224" t="str">
        <v>קינג קונג חיפה חורב</v>
      </c>
      <c r="F224">
        <v>450484</v>
      </c>
      <c r="G224">
        <v>46007</v>
      </c>
      <c r="H224" t="str">
        <v>אבוקדו</v>
      </c>
      <c r="I224">
        <v>10</v>
      </c>
      <c r="J224">
        <v>60</v>
      </c>
      <c r="K224">
        <v>600</v>
      </c>
    </row>
    <row r="225">
      <c r="D225" t="str">
        <v>70827</v>
      </c>
      <c r="E225" t="str">
        <v>קינג קונג חיפה חורב</v>
      </c>
      <c r="F225">
        <v>450656</v>
      </c>
      <c r="G225">
        <v>46009</v>
      </c>
      <c r="H225" t="str">
        <v>אבוקדו</v>
      </c>
      <c r="I225">
        <v>10</v>
      </c>
      <c r="J225">
        <v>50</v>
      </c>
      <c r="K225">
        <v>500</v>
      </c>
    </row>
    <row r="226">
      <c r="D226" t="str">
        <v>70827</v>
      </c>
      <c r="E226" t="str">
        <v>קינג קונג חיפה חורב</v>
      </c>
      <c r="F226">
        <v>450839</v>
      </c>
      <c r="G226">
        <v>46012</v>
      </c>
      <c r="H226" t="str">
        <v>אבוקדו</v>
      </c>
      <c r="I226">
        <v>10</v>
      </c>
      <c r="J226">
        <v>60</v>
      </c>
      <c r="K226">
        <v>600</v>
      </c>
    </row>
    <row r="227">
      <c r="D227" t="str">
        <v>70827</v>
      </c>
      <c r="E227" t="str">
        <v>קינג קונג חיפה חורב</v>
      </c>
      <c r="F227">
        <v>451036</v>
      </c>
      <c r="G227">
        <v>46014</v>
      </c>
      <c r="H227" t="str">
        <v>אבוקדו</v>
      </c>
      <c r="I227">
        <v>10</v>
      </c>
      <c r="J227">
        <v>50</v>
      </c>
      <c r="K227">
        <v>500</v>
      </c>
    </row>
    <row r="228">
      <c r="D228" t="str">
        <v>70827</v>
      </c>
      <c r="E228" t="str">
        <v>קינג קונג חיפה חורב</v>
      </c>
      <c r="F228">
        <v>451245</v>
      </c>
      <c r="G228">
        <v>46016</v>
      </c>
      <c r="H228" t="str">
        <v>אבוקדו</v>
      </c>
      <c r="I228">
        <v>10</v>
      </c>
      <c r="J228">
        <v>60</v>
      </c>
      <c r="K228">
        <v>600</v>
      </c>
    </row>
    <row r="229">
      <c r="D229" t="str">
        <v>70827</v>
      </c>
      <c r="E229" t="str">
        <v>קינג קונג חיפה חורב</v>
      </c>
      <c r="F229">
        <v>451368</v>
      </c>
      <c r="G229">
        <v>46019</v>
      </c>
      <c r="H229" t="str">
        <v>אבוקדו</v>
      </c>
      <c r="I229">
        <v>10</v>
      </c>
      <c r="J229">
        <v>40</v>
      </c>
      <c r="K229">
        <v>400</v>
      </c>
    </row>
    <row r="230">
      <c r="D230" t="str">
        <v>70827</v>
      </c>
      <c r="E230" t="str">
        <v>קינג קונג חיפה חורב</v>
      </c>
      <c r="F230">
        <v>451593</v>
      </c>
      <c r="G230">
        <v>46021</v>
      </c>
      <c r="H230" t="str">
        <v>אבוקדו</v>
      </c>
      <c r="I230">
        <v>10</v>
      </c>
      <c r="J230">
        <v>80</v>
      </c>
      <c r="K230">
        <v>800</v>
      </c>
    </row>
    <row r="231">
      <c r="J231">
        <f>SUM(J166:J230)</f>
        <v>2500</v>
      </c>
    </row>
    <row r="232">
      <c r="A232" t="str">
        <v>קינג קונג כרמיאל</v>
      </c>
      <c r="B232" t="str">
        <v>70868</v>
      </c>
      <c r="C232">
        <v>724</v>
      </c>
    </row>
    <row r="233">
      <c r="D233" t="str">
        <v>70868</v>
      </c>
      <c r="E233" t="str">
        <v>קינג קונג כרמיאל</v>
      </c>
      <c r="F233">
        <v>810599</v>
      </c>
      <c r="G233">
        <v>45933</v>
      </c>
      <c r="H233" t="str">
        <v>בטטה</v>
      </c>
      <c r="I233">
        <v>5</v>
      </c>
      <c r="J233">
        <v>10</v>
      </c>
      <c r="K233">
        <v>50</v>
      </c>
    </row>
    <row r="234">
      <c r="D234" t="str">
        <v>70868</v>
      </c>
      <c r="E234" t="str">
        <v>קינג קונג כרמיאל</v>
      </c>
      <c r="F234">
        <v>810707</v>
      </c>
      <c r="G234">
        <v>45935</v>
      </c>
      <c r="H234" t="str">
        <v>בטטה</v>
      </c>
      <c r="I234">
        <v>5</v>
      </c>
      <c r="J234">
        <v>10</v>
      </c>
      <c r="K234">
        <v>50</v>
      </c>
    </row>
    <row r="235">
      <c r="D235" t="str">
        <v>70868</v>
      </c>
      <c r="E235" t="str">
        <v>קינג קונג כרמיאל</v>
      </c>
      <c r="F235">
        <v>1588</v>
      </c>
      <c r="G235">
        <v>45939</v>
      </c>
      <c r="H235" t="str">
        <v>בטטה</v>
      </c>
      <c r="I235">
        <v>5</v>
      </c>
      <c r="J235">
        <v>20</v>
      </c>
      <c r="K235">
        <v>100</v>
      </c>
    </row>
    <row r="236">
      <c r="D236" t="str">
        <v>70868</v>
      </c>
      <c r="E236" t="str">
        <v>קינג קונג כרמיאל</v>
      </c>
      <c r="F236">
        <v>1715</v>
      </c>
      <c r="G236">
        <v>45942</v>
      </c>
      <c r="H236" t="str">
        <v>בטטה</v>
      </c>
      <c r="I236">
        <v>5</v>
      </c>
      <c r="J236">
        <v>10</v>
      </c>
      <c r="K236">
        <v>50</v>
      </c>
    </row>
    <row r="237">
      <c r="D237" t="str">
        <v>70868</v>
      </c>
      <c r="E237" t="str">
        <v>קינג קונג כרמיאל</v>
      </c>
      <c r="F237">
        <v>2034</v>
      </c>
      <c r="G237">
        <v>45946</v>
      </c>
      <c r="H237" t="str">
        <v>בטטה</v>
      </c>
      <c r="I237">
        <v>5</v>
      </c>
      <c r="J237">
        <v>10</v>
      </c>
      <c r="K237">
        <v>50</v>
      </c>
    </row>
    <row r="238">
      <c r="D238" t="str">
        <v>70868</v>
      </c>
      <c r="E238" t="str">
        <v>קינג קונג כרמיאל</v>
      </c>
      <c r="F238">
        <v>2129</v>
      </c>
      <c r="G238">
        <v>45949</v>
      </c>
      <c r="H238" t="str">
        <v>בטטה</v>
      </c>
      <c r="I238">
        <v>5</v>
      </c>
      <c r="J238">
        <v>10</v>
      </c>
      <c r="K238">
        <v>50</v>
      </c>
    </row>
    <row r="239">
      <c r="D239" t="str">
        <v>70868</v>
      </c>
      <c r="E239" t="str">
        <v>קינג קונג כרמיאל</v>
      </c>
      <c r="F239">
        <v>2540</v>
      </c>
      <c r="G239">
        <v>45953</v>
      </c>
      <c r="H239" t="str">
        <v>בטטה</v>
      </c>
      <c r="I239">
        <v>5</v>
      </c>
      <c r="J239">
        <v>20</v>
      </c>
      <c r="K239">
        <v>100</v>
      </c>
    </row>
    <row r="240">
      <c r="D240" t="str">
        <v>70868</v>
      </c>
      <c r="E240" t="str">
        <v>קינג קונג כרמיאל</v>
      </c>
      <c r="F240">
        <v>2722</v>
      </c>
      <c r="G240">
        <v>45956</v>
      </c>
      <c r="H240" t="str">
        <v>בטטה</v>
      </c>
      <c r="I240">
        <v>5</v>
      </c>
      <c r="J240">
        <v>20</v>
      </c>
      <c r="K240">
        <v>100</v>
      </c>
    </row>
    <row r="241">
      <c r="D241" t="str">
        <v>70868</v>
      </c>
      <c r="E241" t="str">
        <v>קינג קונג כרמיאל</v>
      </c>
      <c r="F241">
        <v>3060</v>
      </c>
      <c r="G241">
        <v>45960</v>
      </c>
      <c r="H241" t="str">
        <v>בטטה</v>
      </c>
      <c r="I241">
        <v>5</v>
      </c>
      <c r="J241">
        <v>10</v>
      </c>
      <c r="K241">
        <v>50</v>
      </c>
    </row>
    <row r="242">
      <c r="D242" t="str">
        <v>70868</v>
      </c>
      <c r="E242" t="str">
        <v>קינג קונג כרמיאל</v>
      </c>
      <c r="F242">
        <v>9141</v>
      </c>
      <c r="G242">
        <v>45963</v>
      </c>
      <c r="H242" t="str">
        <v>בטטה</v>
      </c>
      <c r="I242">
        <v>5</v>
      </c>
      <c r="J242">
        <v>10</v>
      </c>
      <c r="K242">
        <v>50</v>
      </c>
    </row>
    <row r="243">
      <c r="D243" t="str">
        <v>70868</v>
      </c>
      <c r="E243" t="str">
        <v>קינג קונג כרמיאל</v>
      </c>
      <c r="F243">
        <v>447695</v>
      </c>
      <c r="G243">
        <v>45967</v>
      </c>
      <c r="H243" t="str">
        <v>בטטה</v>
      </c>
      <c r="I243">
        <v>5</v>
      </c>
      <c r="J243">
        <v>20</v>
      </c>
      <c r="K243">
        <v>100</v>
      </c>
    </row>
    <row r="244">
      <c r="D244" t="str">
        <v>70868</v>
      </c>
      <c r="E244" t="str">
        <v>קינג קונג כרמיאל</v>
      </c>
      <c r="F244">
        <v>447848</v>
      </c>
      <c r="G244">
        <v>45970</v>
      </c>
      <c r="H244" t="str">
        <v>בטטה</v>
      </c>
      <c r="I244">
        <v>5</v>
      </c>
      <c r="J244">
        <v>10</v>
      </c>
      <c r="K244">
        <v>50</v>
      </c>
    </row>
    <row r="245">
      <c r="D245" t="str">
        <v>70868</v>
      </c>
      <c r="E245" t="str">
        <v>קינג קונג כרמיאל</v>
      </c>
      <c r="F245">
        <v>448190</v>
      </c>
      <c r="G245">
        <v>45974</v>
      </c>
      <c r="H245" t="str">
        <v>בטטה</v>
      </c>
      <c r="I245">
        <v>5</v>
      </c>
      <c r="J245">
        <v>20</v>
      </c>
      <c r="K245">
        <v>100</v>
      </c>
    </row>
    <row r="246">
      <c r="D246" t="str">
        <v>70868</v>
      </c>
      <c r="E246" t="str">
        <v>קינג קונג כרמיאל</v>
      </c>
      <c r="F246">
        <v>448375</v>
      </c>
      <c r="G246">
        <v>45977</v>
      </c>
      <c r="H246" t="str">
        <v>בטטה</v>
      </c>
      <c r="I246">
        <v>5</v>
      </c>
      <c r="J246">
        <v>10</v>
      </c>
      <c r="K246">
        <v>50</v>
      </c>
    </row>
    <row r="247">
      <c r="D247" t="str">
        <v>70868</v>
      </c>
      <c r="E247" t="str">
        <v>קינג קונג כרמיאל</v>
      </c>
      <c r="F247">
        <v>448724</v>
      </c>
      <c r="G247">
        <v>45981</v>
      </c>
      <c r="H247" t="str">
        <v>בטטה</v>
      </c>
      <c r="I247">
        <v>5</v>
      </c>
      <c r="J247">
        <v>10</v>
      </c>
      <c r="K247">
        <v>50</v>
      </c>
    </row>
    <row r="248">
      <c r="D248" t="str">
        <v>70868</v>
      </c>
      <c r="E248" t="str">
        <v>קינג קונג כרמיאל</v>
      </c>
      <c r="F248">
        <v>448848</v>
      </c>
      <c r="G248">
        <v>45984</v>
      </c>
      <c r="H248" t="str">
        <v>בטטה</v>
      </c>
      <c r="I248">
        <v>5</v>
      </c>
      <c r="J248">
        <v>10</v>
      </c>
      <c r="K248">
        <v>50</v>
      </c>
    </row>
    <row r="249">
      <c r="D249" t="str">
        <v>70868</v>
      </c>
      <c r="E249" t="str">
        <v>קינג קונג כרמיאל</v>
      </c>
      <c r="F249">
        <v>449221</v>
      </c>
      <c r="G249">
        <v>45988</v>
      </c>
      <c r="H249" t="str">
        <v>בטטה</v>
      </c>
      <c r="I249">
        <v>5</v>
      </c>
      <c r="J249">
        <v>20</v>
      </c>
      <c r="K249">
        <v>100</v>
      </c>
    </row>
    <row r="250">
      <c r="D250" t="str">
        <v>70868</v>
      </c>
      <c r="E250" t="str">
        <v>קינג קונג כרמיאל</v>
      </c>
      <c r="F250">
        <v>449344</v>
      </c>
      <c r="G250">
        <v>45991</v>
      </c>
      <c r="H250" t="str">
        <v>בטטה</v>
      </c>
      <c r="I250">
        <v>5</v>
      </c>
      <c r="J250">
        <v>10</v>
      </c>
      <c r="K250">
        <v>50</v>
      </c>
    </row>
    <row r="251">
      <c r="D251" t="str">
        <v>70868</v>
      </c>
      <c r="E251" t="str">
        <v>קינג קונג כרמיאל</v>
      </c>
      <c r="F251">
        <v>449666</v>
      </c>
      <c r="G251">
        <v>45995</v>
      </c>
      <c r="H251" t="str">
        <v>בטטה</v>
      </c>
      <c r="I251">
        <v>5</v>
      </c>
      <c r="J251">
        <v>10</v>
      </c>
      <c r="K251">
        <v>50</v>
      </c>
    </row>
    <row r="252">
      <c r="D252" t="str">
        <v>70868</v>
      </c>
      <c r="E252" t="str">
        <v>קינג קונג כרמיאל</v>
      </c>
      <c r="F252">
        <v>449845</v>
      </c>
      <c r="G252">
        <v>45998</v>
      </c>
      <c r="H252" t="str">
        <v>בטטה</v>
      </c>
      <c r="I252">
        <v>5</v>
      </c>
      <c r="J252">
        <v>20</v>
      </c>
      <c r="K252">
        <v>100</v>
      </c>
    </row>
    <row r="253">
      <c r="D253" t="str">
        <v>70868</v>
      </c>
      <c r="E253" t="str">
        <v>קינג קונג כרמיאל</v>
      </c>
      <c r="F253">
        <v>450160</v>
      </c>
      <c r="G253">
        <v>46002</v>
      </c>
      <c r="H253" t="str">
        <v>בטטה</v>
      </c>
      <c r="I253">
        <v>5</v>
      </c>
      <c r="J253">
        <v>20</v>
      </c>
      <c r="K253">
        <v>100</v>
      </c>
    </row>
    <row r="254">
      <c r="D254" t="str">
        <v>70868</v>
      </c>
      <c r="E254" t="str">
        <v>קינג קונג כרמיאל</v>
      </c>
      <c r="F254">
        <v>450335</v>
      </c>
      <c r="G254">
        <v>46005</v>
      </c>
      <c r="H254" t="str">
        <v>בטטה</v>
      </c>
      <c r="I254">
        <v>5</v>
      </c>
      <c r="J254">
        <v>10</v>
      </c>
      <c r="K254">
        <v>50</v>
      </c>
    </row>
    <row r="255">
      <c r="D255" t="str">
        <v>70868</v>
      </c>
      <c r="E255" t="str">
        <v>קינג קונג כרמיאל</v>
      </c>
      <c r="F255">
        <v>450668</v>
      </c>
      <c r="G255">
        <v>46009</v>
      </c>
      <c r="H255" t="str">
        <v>בטטה</v>
      </c>
      <c r="I255">
        <v>5</v>
      </c>
      <c r="J255">
        <v>10</v>
      </c>
      <c r="K255">
        <v>50</v>
      </c>
    </row>
    <row r="256">
      <c r="D256" t="str">
        <v>70868</v>
      </c>
      <c r="E256" t="str">
        <v>קינג קונג כרמיאל</v>
      </c>
      <c r="F256">
        <v>450851</v>
      </c>
      <c r="G256">
        <v>46012</v>
      </c>
      <c r="H256" t="str">
        <v>בטטה</v>
      </c>
      <c r="I256">
        <v>5</v>
      </c>
      <c r="J256">
        <v>20</v>
      </c>
      <c r="K256">
        <v>100</v>
      </c>
    </row>
    <row r="257">
      <c r="D257" t="str">
        <v>70868</v>
      </c>
      <c r="E257" t="str">
        <v>קינג קונג כרמיאל</v>
      </c>
      <c r="F257">
        <v>451257</v>
      </c>
      <c r="G257">
        <v>46016</v>
      </c>
      <c r="H257" t="str">
        <v>בטטה</v>
      </c>
      <c r="I257">
        <v>5</v>
      </c>
      <c r="J257">
        <v>20</v>
      </c>
      <c r="K257">
        <v>100</v>
      </c>
    </row>
    <row r="258">
      <c r="D258" t="str">
        <v>70868</v>
      </c>
      <c r="E258" t="str">
        <v>קינג קונג כרמיאל</v>
      </c>
      <c r="F258">
        <v>451378</v>
      </c>
      <c r="G258">
        <v>46019</v>
      </c>
      <c r="H258" t="str">
        <v>בטטה</v>
      </c>
      <c r="I258">
        <v>5</v>
      </c>
      <c r="J258">
        <v>20</v>
      </c>
      <c r="K258">
        <v>100</v>
      </c>
    </row>
    <row r="259">
      <c r="D259" t="str">
        <v>70868</v>
      </c>
      <c r="E259" t="str">
        <v>קינג קונג כרמיאל</v>
      </c>
      <c r="F259">
        <v>810599</v>
      </c>
      <c r="G259">
        <v>45933</v>
      </c>
      <c r="H259" t="str">
        <v>אבוקדו</v>
      </c>
      <c r="I259">
        <v>11.5</v>
      </c>
      <c r="J259">
        <v>50</v>
      </c>
      <c r="K259">
        <v>575</v>
      </c>
    </row>
    <row r="260">
      <c r="D260" t="str">
        <v>70868</v>
      </c>
      <c r="E260" t="str">
        <v>קינג קונג כרמיאל</v>
      </c>
      <c r="F260">
        <v>810707</v>
      </c>
      <c r="G260">
        <v>45935</v>
      </c>
      <c r="H260" t="str">
        <v>אבוקדו</v>
      </c>
      <c r="I260">
        <v>11.5</v>
      </c>
      <c r="J260">
        <v>30</v>
      </c>
      <c r="K260">
        <v>345</v>
      </c>
    </row>
    <row r="261">
      <c r="D261" t="str">
        <v>70868</v>
      </c>
      <c r="E261" t="str">
        <v>קינג קונג כרמיאל</v>
      </c>
      <c r="F261">
        <v>1588</v>
      </c>
      <c r="G261">
        <v>45939</v>
      </c>
      <c r="H261" t="str">
        <v>אבוקדו</v>
      </c>
      <c r="I261">
        <v>10</v>
      </c>
      <c r="J261">
        <v>50</v>
      </c>
      <c r="K261">
        <v>500</v>
      </c>
    </row>
    <row r="262">
      <c r="D262" t="str">
        <v>70868</v>
      </c>
      <c r="E262" t="str">
        <v>קינג קונג כרמיאל</v>
      </c>
      <c r="F262">
        <v>1715</v>
      </c>
      <c r="G262">
        <v>45942</v>
      </c>
      <c r="H262" t="str">
        <v>אבוקדו</v>
      </c>
      <c r="I262">
        <v>10</v>
      </c>
      <c r="J262">
        <v>40</v>
      </c>
      <c r="K262">
        <v>400</v>
      </c>
    </row>
    <row r="263">
      <c r="D263" t="str">
        <v>70868</v>
      </c>
      <c r="E263" t="str">
        <v>קינג קונג כרמיאל</v>
      </c>
      <c r="F263">
        <v>2034</v>
      </c>
      <c r="G263">
        <v>45946</v>
      </c>
      <c r="H263" t="str">
        <v>אבוקדו</v>
      </c>
      <c r="I263">
        <v>10</v>
      </c>
      <c r="J263">
        <v>40</v>
      </c>
      <c r="K263">
        <v>400</v>
      </c>
    </row>
    <row r="264">
      <c r="D264" t="str">
        <v>70868</v>
      </c>
      <c r="E264" t="str">
        <v>קינג קונג כרמיאל</v>
      </c>
      <c r="F264">
        <v>2129</v>
      </c>
      <c r="G264">
        <v>45949</v>
      </c>
      <c r="H264" t="str">
        <v>אבוקדו</v>
      </c>
      <c r="I264">
        <v>10</v>
      </c>
      <c r="J264">
        <v>40</v>
      </c>
      <c r="K264">
        <v>400</v>
      </c>
    </row>
    <row r="265">
      <c r="D265" t="str">
        <v>70868</v>
      </c>
      <c r="E265" t="str">
        <v>קינג קונג כרמיאל</v>
      </c>
      <c r="F265">
        <v>2540</v>
      </c>
      <c r="G265">
        <v>45953</v>
      </c>
      <c r="H265" t="str">
        <v>אבוקדו</v>
      </c>
      <c r="I265">
        <v>10</v>
      </c>
      <c r="J265">
        <v>40</v>
      </c>
      <c r="K265">
        <v>400</v>
      </c>
    </row>
    <row r="266">
      <c r="D266" t="str">
        <v>70868</v>
      </c>
      <c r="E266" t="str">
        <v>קינג קונג כרמיאל</v>
      </c>
      <c r="F266">
        <v>2722</v>
      </c>
      <c r="G266">
        <v>45956</v>
      </c>
      <c r="H266" t="str">
        <v>אבוקדו</v>
      </c>
      <c r="I266">
        <v>10</v>
      </c>
      <c r="J266">
        <v>40</v>
      </c>
      <c r="K266">
        <v>400</v>
      </c>
    </row>
    <row r="267">
      <c r="D267" t="str">
        <v>70868</v>
      </c>
      <c r="E267" t="str">
        <v>קינג קונג כרמיאל</v>
      </c>
      <c r="F267">
        <v>3060</v>
      </c>
      <c r="G267">
        <v>45960</v>
      </c>
      <c r="H267" t="str">
        <v>אבוקדו</v>
      </c>
      <c r="I267">
        <v>10</v>
      </c>
      <c r="J267">
        <v>40</v>
      </c>
      <c r="K267">
        <v>400</v>
      </c>
    </row>
    <row r="268">
      <c r="D268" t="str">
        <v>70868</v>
      </c>
      <c r="E268" t="str">
        <v>קינג קונג כרמיאל</v>
      </c>
      <c r="F268">
        <v>9141</v>
      </c>
      <c r="G268">
        <v>45963</v>
      </c>
      <c r="H268" t="str">
        <v>אבוקדו</v>
      </c>
      <c r="I268">
        <v>10</v>
      </c>
      <c r="J268">
        <v>40</v>
      </c>
      <c r="K268">
        <v>400</v>
      </c>
    </row>
    <row r="269">
      <c r="D269" t="str">
        <v>70868</v>
      </c>
      <c r="E269" t="str">
        <v>קינג קונג כרמיאל</v>
      </c>
      <c r="F269">
        <v>447695</v>
      </c>
      <c r="G269">
        <v>45967</v>
      </c>
      <c r="H269" t="str">
        <v>אבוקדו</v>
      </c>
      <c r="I269">
        <v>10</v>
      </c>
      <c r="J269">
        <v>40</v>
      </c>
      <c r="K269">
        <v>400</v>
      </c>
    </row>
    <row r="270">
      <c r="D270" t="str">
        <v>70868</v>
      </c>
      <c r="E270" t="str">
        <v>קינג קונג כרמיאל</v>
      </c>
      <c r="F270">
        <v>447848</v>
      </c>
      <c r="G270">
        <v>45970</v>
      </c>
      <c r="H270" t="str">
        <v>אבוקדו</v>
      </c>
      <c r="I270">
        <v>10</v>
      </c>
      <c r="J270">
        <v>30</v>
      </c>
      <c r="K270">
        <v>300</v>
      </c>
    </row>
    <row r="271">
      <c r="D271" t="str">
        <v>70868</v>
      </c>
      <c r="E271" t="str">
        <v>קינג קונג כרמיאל</v>
      </c>
      <c r="F271">
        <v>448190</v>
      </c>
      <c r="G271">
        <v>45974</v>
      </c>
      <c r="H271" t="str">
        <v>אבוקדו</v>
      </c>
      <c r="I271">
        <v>10</v>
      </c>
      <c r="J271">
        <v>40</v>
      </c>
      <c r="K271">
        <v>400</v>
      </c>
    </row>
    <row r="272">
      <c r="D272" t="str">
        <v>70868</v>
      </c>
      <c r="E272" t="str">
        <v>קינג קונג כרמיאל</v>
      </c>
      <c r="F272">
        <v>448375</v>
      </c>
      <c r="G272">
        <v>45977</v>
      </c>
      <c r="H272" t="str">
        <v>אבוקדו</v>
      </c>
      <c r="I272">
        <v>10</v>
      </c>
      <c r="J272">
        <v>40</v>
      </c>
      <c r="K272">
        <v>400</v>
      </c>
    </row>
    <row r="273">
      <c r="D273" t="str">
        <v>70868</v>
      </c>
      <c r="E273" t="str">
        <v>קינג קונג כרמיאל</v>
      </c>
      <c r="F273">
        <v>448724</v>
      </c>
      <c r="G273">
        <v>45981</v>
      </c>
      <c r="H273" t="str">
        <v>אבוקדו</v>
      </c>
      <c r="I273">
        <v>10</v>
      </c>
      <c r="J273">
        <v>50</v>
      </c>
      <c r="K273">
        <v>500</v>
      </c>
    </row>
    <row r="274">
      <c r="D274" t="str">
        <v>70868</v>
      </c>
      <c r="E274" t="str">
        <v>קינג קונג כרמיאל</v>
      </c>
      <c r="F274">
        <v>448848</v>
      </c>
      <c r="G274">
        <v>45984</v>
      </c>
      <c r="H274" t="str">
        <v>אבוקדו</v>
      </c>
      <c r="I274">
        <v>10</v>
      </c>
      <c r="J274">
        <v>40</v>
      </c>
      <c r="K274">
        <v>400</v>
      </c>
    </row>
    <row r="275">
      <c r="D275" t="str">
        <v>70868</v>
      </c>
      <c r="E275" t="str">
        <v>קינג קונג כרמיאל</v>
      </c>
      <c r="F275">
        <v>449221</v>
      </c>
      <c r="G275">
        <v>45988</v>
      </c>
      <c r="H275" t="str">
        <v>אבוקדו</v>
      </c>
      <c r="I275">
        <v>10</v>
      </c>
      <c r="J275">
        <v>40</v>
      </c>
      <c r="K275">
        <v>400</v>
      </c>
    </row>
    <row r="276">
      <c r="D276" t="str">
        <v>70868</v>
      </c>
      <c r="E276" t="str">
        <v>קינג קונג כרמיאל</v>
      </c>
      <c r="F276">
        <v>449344</v>
      </c>
      <c r="G276">
        <v>45991</v>
      </c>
      <c r="H276" t="str">
        <v>אבוקדו</v>
      </c>
      <c r="I276">
        <v>10</v>
      </c>
      <c r="J276">
        <v>30</v>
      </c>
      <c r="K276">
        <v>300</v>
      </c>
    </row>
    <row r="277">
      <c r="D277" t="str">
        <v>70868</v>
      </c>
      <c r="E277" t="str">
        <v>קינג קונג כרמיאל</v>
      </c>
      <c r="F277">
        <v>449666</v>
      </c>
      <c r="G277">
        <v>45995</v>
      </c>
      <c r="H277" t="str">
        <v>אבוקדו</v>
      </c>
      <c r="I277">
        <v>10</v>
      </c>
      <c r="J277">
        <v>40</v>
      </c>
      <c r="K277">
        <v>400</v>
      </c>
    </row>
    <row r="278">
      <c r="D278" t="str">
        <v>70868</v>
      </c>
      <c r="E278" t="str">
        <v>קינג קונג כרמיאל</v>
      </c>
      <c r="F278">
        <v>449845</v>
      </c>
      <c r="G278">
        <v>45998</v>
      </c>
      <c r="H278" t="str">
        <v>אבוקדו</v>
      </c>
      <c r="I278">
        <v>10</v>
      </c>
      <c r="J278">
        <v>40</v>
      </c>
      <c r="K278">
        <v>400</v>
      </c>
    </row>
    <row r="279">
      <c r="D279" t="str">
        <v>70868</v>
      </c>
      <c r="E279" t="str">
        <v>קינג קונג כרמיאל</v>
      </c>
      <c r="F279">
        <v>450160</v>
      </c>
      <c r="G279">
        <v>46002</v>
      </c>
      <c r="H279" t="str">
        <v>אבוקדו</v>
      </c>
      <c r="I279">
        <v>10</v>
      </c>
      <c r="J279">
        <v>50</v>
      </c>
      <c r="K279">
        <v>500</v>
      </c>
    </row>
    <row r="280">
      <c r="D280" t="str">
        <v>70868</v>
      </c>
      <c r="E280" t="str">
        <v>קינג קונג כרמיאל</v>
      </c>
      <c r="F280">
        <v>450335</v>
      </c>
      <c r="G280">
        <v>46005</v>
      </c>
      <c r="H280" t="str">
        <v>אבוקדו</v>
      </c>
      <c r="I280">
        <v>10</v>
      </c>
      <c r="J280">
        <v>30</v>
      </c>
      <c r="K280">
        <v>300</v>
      </c>
    </row>
    <row r="281">
      <c r="D281" t="str">
        <v>70868</v>
      </c>
      <c r="E281" t="str">
        <v>קינג קונג כרמיאל</v>
      </c>
      <c r="F281">
        <v>450668</v>
      </c>
      <c r="G281">
        <v>46009</v>
      </c>
      <c r="H281" t="str">
        <v>אבוקדו</v>
      </c>
      <c r="I281">
        <v>10</v>
      </c>
      <c r="J281">
        <v>40</v>
      </c>
      <c r="K281">
        <v>400</v>
      </c>
    </row>
    <row r="282">
      <c r="D282" t="str">
        <v>70868</v>
      </c>
      <c r="E282" t="str">
        <v>קינג קונג כרמיאל</v>
      </c>
      <c r="F282">
        <v>450851</v>
      </c>
      <c r="G282">
        <v>46012</v>
      </c>
      <c r="H282" t="str">
        <v>אבוקדו</v>
      </c>
      <c r="I282">
        <v>10</v>
      </c>
      <c r="J282">
        <v>40</v>
      </c>
      <c r="K282">
        <v>400</v>
      </c>
    </row>
    <row r="283">
      <c r="D283" t="str">
        <v>70868</v>
      </c>
      <c r="E283" t="str">
        <v>קינג קונג כרמיאל</v>
      </c>
      <c r="F283">
        <v>451257</v>
      </c>
      <c r="G283">
        <v>46016</v>
      </c>
      <c r="H283" t="str">
        <v>אבוקדו</v>
      </c>
      <c r="I283">
        <v>10</v>
      </c>
      <c r="J283">
        <v>40</v>
      </c>
      <c r="K283">
        <v>400</v>
      </c>
    </row>
    <row r="284">
      <c r="D284" t="str">
        <v>70868</v>
      </c>
      <c r="E284" t="str">
        <v>קינג קונג כרמיאל</v>
      </c>
      <c r="F284">
        <v>451378</v>
      </c>
      <c r="G284">
        <v>46019</v>
      </c>
      <c r="H284" t="str">
        <v>אבוקדו</v>
      </c>
      <c r="I284">
        <v>10</v>
      </c>
      <c r="J284">
        <v>50</v>
      </c>
      <c r="K284">
        <v>500</v>
      </c>
    </row>
    <row r="285">
      <c r="J285">
        <f>SUM(J233:J284)</f>
        <v>1420</v>
      </c>
    </row>
    <row r="286">
      <c r="A286" t="str">
        <v>קינג קונג נהריה(קינג געתון בע"מ)</v>
      </c>
      <c r="B286" t="str">
        <v>70936</v>
      </c>
      <c r="C286">
        <v>724</v>
      </c>
    </row>
    <row r="287">
      <c r="D287" t="str">
        <v>70936</v>
      </c>
      <c r="E287" t="str">
        <v>קינג קונג נהריה(קינג געתון בע"מ)</v>
      </c>
      <c r="F287">
        <v>810602</v>
      </c>
      <c r="G287">
        <v>45933</v>
      </c>
      <c r="H287" t="str">
        <v>בטטה</v>
      </c>
      <c r="I287">
        <v>5</v>
      </c>
      <c r="J287">
        <v>30</v>
      </c>
      <c r="K287">
        <v>150</v>
      </c>
    </row>
    <row r="288">
      <c r="D288" t="str">
        <v>70936</v>
      </c>
      <c r="E288" t="str">
        <v>קינג קונג נהריה(קינג געתון בע"מ)</v>
      </c>
      <c r="F288">
        <v>810784</v>
      </c>
      <c r="G288">
        <v>45935</v>
      </c>
      <c r="H288" t="str">
        <v>בטטה</v>
      </c>
      <c r="I288">
        <v>5</v>
      </c>
      <c r="J288">
        <v>30</v>
      </c>
      <c r="K288">
        <v>150</v>
      </c>
    </row>
    <row r="289">
      <c r="D289" t="str">
        <v>70936</v>
      </c>
      <c r="E289" t="str">
        <v>קינג קונג נהריה(קינג געתון בע"מ)</v>
      </c>
      <c r="F289">
        <v>1591</v>
      </c>
      <c r="G289">
        <v>45939</v>
      </c>
      <c r="H289" t="str">
        <v>בטטה</v>
      </c>
      <c r="I289">
        <v>5</v>
      </c>
      <c r="J289">
        <v>10</v>
      </c>
      <c r="K289">
        <v>50</v>
      </c>
    </row>
    <row r="290">
      <c r="D290" t="str">
        <v>70936</v>
      </c>
      <c r="E290" t="str">
        <v>קינג קונג נהריה(קינג געתון בע"מ)</v>
      </c>
      <c r="F290">
        <v>1718</v>
      </c>
      <c r="G290">
        <v>45942</v>
      </c>
      <c r="H290" t="str">
        <v>בטטה</v>
      </c>
      <c r="I290">
        <v>5</v>
      </c>
      <c r="J290">
        <v>30</v>
      </c>
      <c r="K290">
        <v>150</v>
      </c>
    </row>
    <row r="291">
      <c r="D291" t="str">
        <v>70936</v>
      </c>
      <c r="E291" t="str">
        <v>קינג קונג נהריה(קינג געתון בע"מ)</v>
      </c>
      <c r="F291">
        <v>2037</v>
      </c>
      <c r="G291">
        <v>45946</v>
      </c>
      <c r="H291" t="str">
        <v>בטטה</v>
      </c>
      <c r="I291">
        <v>5</v>
      </c>
      <c r="J291">
        <v>20</v>
      </c>
      <c r="K291">
        <v>100</v>
      </c>
    </row>
    <row r="292">
      <c r="D292" t="str">
        <v>70936</v>
      </c>
      <c r="E292" t="str">
        <v>קינג קונג נהריה(קינג געתון בע"מ)</v>
      </c>
      <c r="F292">
        <v>2132</v>
      </c>
      <c r="G292">
        <v>45949</v>
      </c>
      <c r="H292" t="str">
        <v>בטטה</v>
      </c>
      <c r="I292">
        <v>5</v>
      </c>
      <c r="J292">
        <v>30</v>
      </c>
      <c r="K292">
        <v>150</v>
      </c>
    </row>
    <row r="293">
      <c r="D293" t="str">
        <v>70936</v>
      </c>
      <c r="E293" t="str">
        <v>קינג קונג נהריה(קינג געתון בע"מ)</v>
      </c>
      <c r="F293">
        <v>2543</v>
      </c>
      <c r="G293">
        <v>45953</v>
      </c>
      <c r="H293" t="str">
        <v>בטטה</v>
      </c>
      <c r="I293">
        <v>5</v>
      </c>
      <c r="J293">
        <v>30</v>
      </c>
      <c r="K293">
        <v>150</v>
      </c>
    </row>
    <row r="294">
      <c r="D294" t="str">
        <v>70936</v>
      </c>
      <c r="E294" t="str">
        <v>קינג קונג נהריה(קינג געתון בע"מ)</v>
      </c>
      <c r="F294">
        <v>2725</v>
      </c>
      <c r="G294">
        <v>45956</v>
      </c>
      <c r="H294" t="str">
        <v>בטטה</v>
      </c>
      <c r="I294">
        <v>5</v>
      </c>
      <c r="J294">
        <v>30</v>
      </c>
      <c r="K294">
        <v>150</v>
      </c>
    </row>
    <row r="295">
      <c r="D295" t="str">
        <v>70936</v>
      </c>
      <c r="E295" t="str">
        <v>קינג קונג נהריה(קינג געתון בע"מ)</v>
      </c>
      <c r="F295">
        <v>3063</v>
      </c>
      <c r="G295">
        <v>45960</v>
      </c>
      <c r="H295" t="str">
        <v>בטטה</v>
      </c>
      <c r="I295">
        <v>5</v>
      </c>
      <c r="J295">
        <v>20</v>
      </c>
      <c r="K295">
        <v>100</v>
      </c>
    </row>
    <row r="296">
      <c r="D296" t="str">
        <v>70936</v>
      </c>
      <c r="E296" t="str">
        <v>קינג קונג נהריה(קינג געתון בע"מ)</v>
      </c>
      <c r="F296">
        <v>9144</v>
      </c>
      <c r="G296">
        <v>45963</v>
      </c>
      <c r="H296" t="str">
        <v>בטטה</v>
      </c>
      <c r="I296">
        <v>5</v>
      </c>
      <c r="J296">
        <v>30</v>
      </c>
      <c r="K296">
        <v>150</v>
      </c>
    </row>
    <row r="297">
      <c r="D297" t="str">
        <v>70936</v>
      </c>
      <c r="E297" t="str">
        <v>קינג קונג נהריה(קינג געתון בע"מ)</v>
      </c>
      <c r="F297">
        <v>447698</v>
      </c>
      <c r="G297">
        <v>45967</v>
      </c>
      <c r="H297" t="str">
        <v>בטטה</v>
      </c>
      <c r="I297">
        <v>5</v>
      </c>
      <c r="J297">
        <v>30</v>
      </c>
      <c r="K297">
        <v>150</v>
      </c>
    </row>
    <row r="298">
      <c r="D298" t="str">
        <v>70936</v>
      </c>
      <c r="E298" t="str">
        <v>קינג קונג נהריה(קינג געתון בע"מ)</v>
      </c>
      <c r="F298">
        <v>447850</v>
      </c>
      <c r="G298">
        <v>45970</v>
      </c>
      <c r="H298" t="str">
        <v>בטטה</v>
      </c>
      <c r="I298">
        <v>5</v>
      </c>
      <c r="J298">
        <v>30</v>
      </c>
      <c r="K298">
        <v>150</v>
      </c>
    </row>
    <row r="299">
      <c r="D299" t="str">
        <v>70936</v>
      </c>
      <c r="E299" t="str">
        <v>קינג קונג נהריה(קינג געתון בע"מ)</v>
      </c>
      <c r="F299">
        <v>448193</v>
      </c>
      <c r="G299">
        <v>45974</v>
      </c>
      <c r="H299" t="str">
        <v>בטטה</v>
      </c>
      <c r="I299">
        <v>5</v>
      </c>
      <c r="J299">
        <v>10</v>
      </c>
      <c r="K299">
        <v>50</v>
      </c>
    </row>
    <row r="300">
      <c r="D300" t="str">
        <v>70936</v>
      </c>
      <c r="E300" t="str">
        <v>קינג קונג נהריה(קינג געתון בע"מ)</v>
      </c>
      <c r="F300">
        <v>448378</v>
      </c>
      <c r="G300">
        <v>45977</v>
      </c>
      <c r="H300" t="str">
        <v>בטטה</v>
      </c>
      <c r="I300">
        <v>5</v>
      </c>
      <c r="J300">
        <v>30</v>
      </c>
      <c r="K300">
        <v>150</v>
      </c>
    </row>
    <row r="301">
      <c r="D301" t="str">
        <v>70936</v>
      </c>
      <c r="E301" t="str">
        <v>קינג קונג נהריה(קינג געתון בע"מ)</v>
      </c>
      <c r="F301">
        <v>448850</v>
      </c>
      <c r="G301">
        <v>45984</v>
      </c>
      <c r="H301" t="str">
        <v>בטטה</v>
      </c>
      <c r="I301">
        <v>5</v>
      </c>
      <c r="J301">
        <v>40</v>
      </c>
      <c r="K301">
        <v>200</v>
      </c>
    </row>
    <row r="302">
      <c r="D302" t="str">
        <v>70936</v>
      </c>
      <c r="E302" t="str">
        <v>קינג קונג נהריה(קינג געתון בע"מ)</v>
      </c>
      <c r="F302">
        <v>449372</v>
      </c>
      <c r="G302">
        <v>45991</v>
      </c>
      <c r="H302" t="str">
        <v>בטטה</v>
      </c>
      <c r="I302">
        <v>5</v>
      </c>
      <c r="J302">
        <v>30</v>
      </c>
      <c r="K302">
        <v>150</v>
      </c>
    </row>
    <row r="303">
      <c r="D303" t="str">
        <v>70936</v>
      </c>
      <c r="E303" t="str">
        <v>קינג קונג נהריה(קינג געתון בע"מ)</v>
      </c>
      <c r="F303">
        <v>449669</v>
      </c>
      <c r="G303">
        <v>45995</v>
      </c>
      <c r="H303" t="str">
        <v>בטטה</v>
      </c>
      <c r="I303">
        <v>5</v>
      </c>
      <c r="J303">
        <v>20</v>
      </c>
      <c r="K303">
        <v>100</v>
      </c>
    </row>
    <row r="304">
      <c r="D304" t="str">
        <v>70936</v>
      </c>
      <c r="E304" t="str">
        <v>קינג קונג נהריה(קינג געתון בע"מ)</v>
      </c>
      <c r="F304">
        <v>449847</v>
      </c>
      <c r="G304">
        <v>45998</v>
      </c>
      <c r="H304" t="str">
        <v>בטטה</v>
      </c>
      <c r="I304">
        <v>5</v>
      </c>
      <c r="J304">
        <v>30</v>
      </c>
      <c r="K304">
        <v>150</v>
      </c>
    </row>
    <row r="305">
      <c r="D305" t="str">
        <v>70936</v>
      </c>
      <c r="E305" t="str">
        <v>קינג קונג נהריה(קינג געתון בע"מ)</v>
      </c>
      <c r="F305">
        <v>450162</v>
      </c>
      <c r="G305">
        <v>46002</v>
      </c>
      <c r="H305" t="str">
        <v>בטטה</v>
      </c>
      <c r="I305">
        <v>5</v>
      </c>
      <c r="J305">
        <v>20</v>
      </c>
      <c r="K305">
        <v>100</v>
      </c>
    </row>
    <row r="306">
      <c r="D306" t="str">
        <v>70936</v>
      </c>
      <c r="E306" t="str">
        <v>קינג קונג נהריה(קינג געתון בע"מ)</v>
      </c>
      <c r="F306">
        <v>450337</v>
      </c>
      <c r="G306">
        <v>46005</v>
      </c>
      <c r="H306" t="str">
        <v>בטטה</v>
      </c>
      <c r="I306">
        <v>5</v>
      </c>
      <c r="J306">
        <v>20</v>
      </c>
      <c r="K306">
        <v>100</v>
      </c>
    </row>
    <row r="307">
      <c r="D307" t="str">
        <v>70936</v>
      </c>
      <c r="E307" t="str">
        <v>קינג קונג נהריה(קינג געתון בע"מ)</v>
      </c>
      <c r="F307">
        <v>450462</v>
      </c>
      <c r="G307">
        <v>46005</v>
      </c>
      <c r="H307" t="str">
        <v>בטטה</v>
      </c>
      <c r="I307">
        <v>5</v>
      </c>
      <c r="J307">
        <v>-1</v>
      </c>
      <c r="K307">
        <v>-4</v>
      </c>
    </row>
    <row r="308">
      <c r="D308" t="str">
        <v>70936</v>
      </c>
      <c r="E308" t="str">
        <v>קינג קונג נהריה(קינג געתון בע"מ)</v>
      </c>
      <c r="F308">
        <v>450671</v>
      </c>
      <c r="G308">
        <v>46009</v>
      </c>
      <c r="H308" t="str">
        <v>בטטה</v>
      </c>
      <c r="I308">
        <v>5</v>
      </c>
      <c r="J308">
        <v>30</v>
      </c>
      <c r="K308">
        <v>150</v>
      </c>
    </row>
    <row r="309">
      <c r="D309" t="str">
        <v>70936</v>
      </c>
      <c r="E309" t="str">
        <v>קינג קונג נהריה(קינג געתון בע"מ)</v>
      </c>
      <c r="F309">
        <v>450854</v>
      </c>
      <c r="G309">
        <v>46012</v>
      </c>
      <c r="H309" t="str">
        <v>בטטה</v>
      </c>
      <c r="I309">
        <v>5</v>
      </c>
      <c r="J309">
        <v>40</v>
      </c>
      <c r="K309">
        <v>200</v>
      </c>
    </row>
    <row r="310">
      <c r="D310" t="str">
        <v>70936</v>
      </c>
      <c r="E310" t="str">
        <v>קינג קונג נהריה(קינג געתון בע"מ)</v>
      </c>
      <c r="F310">
        <v>451260</v>
      </c>
      <c r="G310">
        <v>46016</v>
      </c>
      <c r="H310" t="str">
        <v>בטטה</v>
      </c>
      <c r="I310">
        <v>5</v>
      </c>
      <c r="J310">
        <v>10</v>
      </c>
      <c r="K310">
        <v>50</v>
      </c>
    </row>
    <row r="311">
      <c r="D311" t="str">
        <v>70936</v>
      </c>
      <c r="E311" t="str">
        <v>קינג קונג נהריה(קינג געתון בע"מ)</v>
      </c>
      <c r="F311">
        <v>451380</v>
      </c>
      <c r="G311">
        <v>46019</v>
      </c>
      <c r="H311" t="str">
        <v>בטטה</v>
      </c>
      <c r="I311">
        <v>5</v>
      </c>
      <c r="J311">
        <v>30</v>
      </c>
      <c r="K311">
        <v>150</v>
      </c>
    </row>
    <row r="312">
      <c r="D312" t="str">
        <v>70936</v>
      </c>
      <c r="E312" t="str">
        <v>קינג קונג נהריה(קינג געתון בע"מ)</v>
      </c>
      <c r="F312">
        <v>810602</v>
      </c>
      <c r="G312">
        <v>45933</v>
      </c>
      <c r="H312" t="str">
        <v>אבוקדו</v>
      </c>
      <c r="I312">
        <v>11.5</v>
      </c>
      <c r="J312">
        <v>50</v>
      </c>
      <c r="K312">
        <v>575</v>
      </c>
    </row>
    <row r="313">
      <c r="D313" t="str">
        <v>70936</v>
      </c>
      <c r="E313" t="str">
        <v>קינג קונג נהריה(קינג געתון בע"מ)</v>
      </c>
      <c r="F313">
        <v>810784</v>
      </c>
      <c r="G313">
        <v>45935</v>
      </c>
      <c r="H313" t="str">
        <v>אבוקדו</v>
      </c>
      <c r="I313">
        <v>11.5</v>
      </c>
      <c r="J313">
        <v>50</v>
      </c>
      <c r="K313">
        <v>575</v>
      </c>
    </row>
    <row r="314">
      <c r="D314" t="str">
        <v>70936</v>
      </c>
      <c r="E314" t="str">
        <v>קינג קונג נהריה(קינג געתון בע"מ)</v>
      </c>
      <c r="F314">
        <v>1591</v>
      </c>
      <c r="G314">
        <v>45939</v>
      </c>
      <c r="H314" t="str">
        <v>אבוקדו</v>
      </c>
      <c r="I314">
        <v>10</v>
      </c>
      <c r="J314">
        <v>50</v>
      </c>
      <c r="K314">
        <v>500</v>
      </c>
    </row>
    <row r="315">
      <c r="D315" t="str">
        <v>70936</v>
      </c>
      <c r="E315" t="str">
        <v>קינג קונג נהריה(קינג געתון בע"מ)</v>
      </c>
      <c r="F315">
        <v>1718</v>
      </c>
      <c r="G315">
        <v>45942</v>
      </c>
      <c r="H315" t="str">
        <v>אבוקדו</v>
      </c>
      <c r="I315">
        <v>10</v>
      </c>
      <c r="J315">
        <v>70</v>
      </c>
      <c r="K315">
        <v>700</v>
      </c>
    </row>
    <row r="316">
      <c r="D316" t="str">
        <v>70936</v>
      </c>
      <c r="E316" t="str">
        <v>קינג קונג נהריה(קינג געתון בע"מ)</v>
      </c>
      <c r="F316">
        <v>1819</v>
      </c>
      <c r="G316">
        <v>45942</v>
      </c>
      <c r="H316" t="str">
        <v>אבוקדו</v>
      </c>
      <c r="I316">
        <v>10</v>
      </c>
      <c r="J316">
        <v>-2</v>
      </c>
      <c r="K316">
        <v>-20</v>
      </c>
    </row>
    <row r="317">
      <c r="D317" t="str">
        <v>70936</v>
      </c>
      <c r="E317" t="str">
        <v>קינג קונג נהריה(קינג געתון בע"מ)</v>
      </c>
      <c r="F317">
        <v>2037</v>
      </c>
      <c r="G317">
        <v>45946</v>
      </c>
      <c r="H317" t="str">
        <v>אבוקדו</v>
      </c>
      <c r="I317">
        <v>10</v>
      </c>
      <c r="J317">
        <v>50</v>
      </c>
      <c r="K317">
        <v>500</v>
      </c>
    </row>
    <row r="318">
      <c r="D318" t="str">
        <v>70936</v>
      </c>
      <c r="E318" t="str">
        <v>קינג קונג נהריה(קינג געתון בע"מ)</v>
      </c>
      <c r="F318">
        <v>2226</v>
      </c>
      <c r="G318">
        <v>45946</v>
      </c>
      <c r="H318" t="str">
        <v>אבוקדו</v>
      </c>
      <c r="I318">
        <v>10</v>
      </c>
      <c r="J318">
        <v>-2</v>
      </c>
      <c r="K318">
        <v>-20</v>
      </c>
    </row>
    <row r="319">
      <c r="D319" t="str">
        <v>70936</v>
      </c>
      <c r="E319" t="str">
        <v>קינג קונג נהריה(קינג געתון בע"מ)</v>
      </c>
      <c r="F319">
        <v>2228</v>
      </c>
      <c r="G319">
        <v>45949</v>
      </c>
      <c r="H319" t="str">
        <v>אבוקדו</v>
      </c>
      <c r="I319">
        <v>10</v>
      </c>
      <c r="J319">
        <v>-10</v>
      </c>
      <c r="K319">
        <v>-100</v>
      </c>
    </row>
    <row r="320">
      <c r="D320" t="str">
        <v>70936</v>
      </c>
      <c r="E320" t="str">
        <v>קינג קונג נהריה(קינג געתון בע"מ)</v>
      </c>
      <c r="F320">
        <v>2132</v>
      </c>
      <c r="G320">
        <v>45949</v>
      </c>
      <c r="H320" t="str">
        <v>אבוקדו</v>
      </c>
      <c r="I320">
        <v>10</v>
      </c>
      <c r="J320">
        <v>90</v>
      </c>
      <c r="K320">
        <v>900</v>
      </c>
    </row>
    <row r="321">
      <c r="D321" t="str">
        <v>70936</v>
      </c>
      <c r="E321" t="str">
        <v>קינג קונג נהריה(קינג געתון בע"מ)</v>
      </c>
      <c r="F321">
        <v>2543</v>
      </c>
      <c r="G321">
        <v>45953</v>
      </c>
      <c r="H321" t="str">
        <v>אבוקדו</v>
      </c>
      <c r="I321">
        <v>10</v>
      </c>
      <c r="J321">
        <v>30</v>
      </c>
      <c r="K321">
        <v>300</v>
      </c>
    </row>
    <row r="322">
      <c r="D322" t="str">
        <v>70936</v>
      </c>
      <c r="E322" t="str">
        <v>קינג קונג נהריה(קינג געתון בע"מ)</v>
      </c>
      <c r="F322">
        <v>2725</v>
      </c>
      <c r="G322">
        <v>45956</v>
      </c>
      <c r="H322" t="str">
        <v>אבוקדו</v>
      </c>
      <c r="I322">
        <v>10</v>
      </c>
      <c r="J322">
        <v>90</v>
      </c>
      <c r="K322">
        <v>900</v>
      </c>
    </row>
    <row r="323">
      <c r="D323" t="str">
        <v>70936</v>
      </c>
      <c r="E323" t="str">
        <v>קינג קונג נהריה(קינג געתון בע"מ)</v>
      </c>
      <c r="F323">
        <v>3063</v>
      </c>
      <c r="G323">
        <v>45960</v>
      </c>
      <c r="H323" t="str">
        <v>אבוקדו</v>
      </c>
      <c r="I323">
        <v>10</v>
      </c>
      <c r="J323">
        <v>40</v>
      </c>
      <c r="K323">
        <v>400</v>
      </c>
    </row>
    <row r="324">
      <c r="D324" t="str">
        <v>70936</v>
      </c>
      <c r="E324" t="str">
        <v>קינג קונג נהריה(קינג געתון בע"מ)</v>
      </c>
      <c r="F324">
        <v>9144</v>
      </c>
      <c r="G324">
        <v>45963</v>
      </c>
      <c r="H324" t="str">
        <v>אבוקדו</v>
      </c>
      <c r="I324">
        <v>10</v>
      </c>
      <c r="J324">
        <v>80</v>
      </c>
      <c r="K324">
        <v>800</v>
      </c>
    </row>
    <row r="325">
      <c r="D325" t="str">
        <v>70936</v>
      </c>
      <c r="E325" t="str">
        <v>קינג קונג נהריה(קינג געתון בע"מ)</v>
      </c>
      <c r="F325">
        <v>447698</v>
      </c>
      <c r="G325">
        <v>45967</v>
      </c>
      <c r="H325" t="str">
        <v>אבוקדו</v>
      </c>
      <c r="I325">
        <v>10</v>
      </c>
      <c r="J325">
        <v>40</v>
      </c>
      <c r="K325">
        <v>400</v>
      </c>
    </row>
    <row r="326">
      <c r="D326" t="str">
        <v>70936</v>
      </c>
      <c r="E326" t="str">
        <v>קינג קונג נהריה(קינג געתון בע"מ)</v>
      </c>
      <c r="F326">
        <v>447850</v>
      </c>
      <c r="G326">
        <v>45970</v>
      </c>
      <c r="H326" t="str">
        <v>אבוקדו</v>
      </c>
      <c r="I326">
        <v>10</v>
      </c>
      <c r="J326">
        <v>80</v>
      </c>
      <c r="K326">
        <v>800</v>
      </c>
    </row>
    <row r="327">
      <c r="D327" t="str">
        <v>70936</v>
      </c>
      <c r="E327" t="str">
        <v>קינג קונג נהריה(קינג געתון בע"מ)</v>
      </c>
      <c r="F327">
        <v>448193</v>
      </c>
      <c r="G327">
        <v>45974</v>
      </c>
      <c r="H327" t="str">
        <v>אבוקדו</v>
      </c>
      <c r="I327">
        <v>10</v>
      </c>
      <c r="J327">
        <v>40</v>
      </c>
      <c r="K327">
        <v>400</v>
      </c>
    </row>
    <row r="328">
      <c r="D328" t="str">
        <v>70936</v>
      </c>
      <c r="E328" t="str">
        <v>קינג קונג נהריה(קינג געתון בע"מ)</v>
      </c>
      <c r="F328">
        <v>448378</v>
      </c>
      <c r="G328">
        <v>45977</v>
      </c>
      <c r="H328" t="str">
        <v>אבוקדו</v>
      </c>
      <c r="I328">
        <v>10</v>
      </c>
      <c r="J328">
        <v>80</v>
      </c>
      <c r="K328">
        <v>800</v>
      </c>
    </row>
    <row r="329">
      <c r="D329" t="str">
        <v>70936</v>
      </c>
      <c r="E329" t="str">
        <v>קינג קונג נהריה(קינג געתון בע"מ)</v>
      </c>
      <c r="F329">
        <v>448570</v>
      </c>
      <c r="G329">
        <v>45979</v>
      </c>
      <c r="H329" t="str">
        <v>אבוקדו</v>
      </c>
      <c r="I329">
        <v>240</v>
      </c>
      <c r="J329">
        <v>-1</v>
      </c>
      <c r="K329">
        <v>-240</v>
      </c>
    </row>
    <row r="330">
      <c r="D330" t="str">
        <v>70936</v>
      </c>
      <c r="E330" t="str">
        <v>קינג קונג נהריה(קינג געתון בע"מ)</v>
      </c>
      <c r="F330">
        <v>448759</v>
      </c>
      <c r="G330">
        <v>45980</v>
      </c>
      <c r="H330" t="str">
        <v>אבוקדו</v>
      </c>
      <c r="I330">
        <v>240</v>
      </c>
      <c r="J330">
        <v>-1</v>
      </c>
      <c r="K330">
        <v>-240</v>
      </c>
    </row>
    <row r="331">
      <c r="D331" t="str">
        <v>70936</v>
      </c>
      <c r="E331" t="str">
        <v>קינג קונג נהריה(קינג געתון בע"מ)</v>
      </c>
      <c r="F331">
        <v>448727</v>
      </c>
      <c r="G331">
        <v>45981</v>
      </c>
      <c r="H331" t="str">
        <v>אבוקדו</v>
      </c>
      <c r="I331">
        <v>10</v>
      </c>
      <c r="J331">
        <v>40</v>
      </c>
      <c r="K331">
        <v>400</v>
      </c>
    </row>
    <row r="332">
      <c r="D332" t="str">
        <v>70936</v>
      </c>
      <c r="E332" t="str">
        <v>קינג קונג נהריה(קינג געתון בע"מ)</v>
      </c>
      <c r="F332">
        <v>448850</v>
      </c>
      <c r="G332">
        <v>45984</v>
      </c>
      <c r="H332" t="str">
        <v>אבוקדו</v>
      </c>
      <c r="I332">
        <v>10</v>
      </c>
      <c r="J332">
        <v>60</v>
      </c>
      <c r="K332">
        <v>600</v>
      </c>
    </row>
    <row r="333">
      <c r="D333" t="str">
        <v>70936</v>
      </c>
      <c r="E333" t="str">
        <v>קינג קונג נהריה(קינג געתון בע"מ)</v>
      </c>
      <c r="F333">
        <v>449224</v>
      </c>
      <c r="G333">
        <v>45988</v>
      </c>
      <c r="H333" t="str">
        <v>אבוקדו</v>
      </c>
      <c r="I333">
        <v>10</v>
      </c>
      <c r="J333">
        <v>40</v>
      </c>
      <c r="K333">
        <v>400</v>
      </c>
    </row>
    <row r="334">
      <c r="D334" t="str">
        <v>70936</v>
      </c>
      <c r="E334" t="str">
        <v>קינג קונג נהריה(קינג געתון בע"מ)</v>
      </c>
      <c r="F334">
        <v>449372</v>
      </c>
      <c r="G334">
        <v>45991</v>
      </c>
      <c r="H334" t="str">
        <v>אבוקדו</v>
      </c>
      <c r="I334">
        <v>10</v>
      </c>
      <c r="J334">
        <v>80</v>
      </c>
      <c r="K334">
        <v>800</v>
      </c>
    </row>
    <row r="335">
      <c r="D335" t="str">
        <v>70936</v>
      </c>
      <c r="E335" t="str">
        <v>קינג קונג נהריה(קינג געתון בע"מ)</v>
      </c>
      <c r="F335">
        <v>449669</v>
      </c>
      <c r="G335">
        <v>45995</v>
      </c>
      <c r="H335" t="str">
        <v>אבוקדו</v>
      </c>
      <c r="I335">
        <v>10</v>
      </c>
      <c r="J335">
        <v>60</v>
      </c>
      <c r="K335">
        <v>600</v>
      </c>
    </row>
    <row r="336">
      <c r="D336" t="str">
        <v>70936</v>
      </c>
      <c r="E336" t="str">
        <v>קינג קונג נהריה(קינג געתון בע"מ)</v>
      </c>
      <c r="F336">
        <v>449847</v>
      </c>
      <c r="G336">
        <v>45998</v>
      </c>
      <c r="H336" t="str">
        <v>אבוקדו</v>
      </c>
      <c r="I336">
        <v>10</v>
      </c>
      <c r="J336">
        <v>80</v>
      </c>
      <c r="K336">
        <v>800</v>
      </c>
    </row>
    <row r="337">
      <c r="D337" t="str">
        <v>70936</v>
      </c>
      <c r="E337" t="str">
        <v>קינג קונג נהריה(קינג געתון בע"מ)</v>
      </c>
      <c r="F337">
        <v>450162</v>
      </c>
      <c r="G337">
        <v>46002</v>
      </c>
      <c r="H337" t="str">
        <v>אבוקדו</v>
      </c>
      <c r="I337">
        <v>10</v>
      </c>
      <c r="J337">
        <v>50</v>
      </c>
      <c r="K337">
        <v>500</v>
      </c>
    </row>
    <row r="338">
      <c r="D338" t="str">
        <v>70936</v>
      </c>
      <c r="E338" t="str">
        <v>קינג קונג נהריה(קינג געתון בע"מ)</v>
      </c>
      <c r="F338">
        <v>450337</v>
      </c>
      <c r="G338">
        <v>46005</v>
      </c>
      <c r="H338" t="str">
        <v>אבוקדו</v>
      </c>
      <c r="I338">
        <v>10</v>
      </c>
      <c r="J338">
        <v>90</v>
      </c>
      <c r="K338">
        <v>900</v>
      </c>
    </row>
    <row r="339">
      <c r="D339" t="str">
        <v>70936</v>
      </c>
      <c r="E339" t="str">
        <v>קינג קונג נהריה(קינג געתון בע"מ)</v>
      </c>
      <c r="F339">
        <v>450671</v>
      </c>
      <c r="G339">
        <v>46009</v>
      </c>
      <c r="H339" t="str">
        <v>אבוקדו</v>
      </c>
      <c r="I339">
        <v>10</v>
      </c>
      <c r="J339">
        <v>50</v>
      </c>
      <c r="K339">
        <v>500</v>
      </c>
    </row>
    <row r="340">
      <c r="D340" t="str">
        <v>70936</v>
      </c>
      <c r="E340" t="str">
        <v>קינג קונג נהריה(קינג געתון בע"מ)</v>
      </c>
      <c r="F340">
        <v>450854</v>
      </c>
      <c r="G340">
        <v>46012</v>
      </c>
      <c r="H340" t="str">
        <v>אבוקדו</v>
      </c>
      <c r="I340">
        <v>10</v>
      </c>
      <c r="J340">
        <v>90</v>
      </c>
      <c r="K340">
        <v>900</v>
      </c>
    </row>
    <row r="341">
      <c r="D341" t="str">
        <v>70936</v>
      </c>
      <c r="E341" t="str">
        <v>קינג קונג נהריה(קינג געתון בע"מ)</v>
      </c>
      <c r="F341">
        <v>451260</v>
      </c>
      <c r="G341">
        <v>46016</v>
      </c>
      <c r="H341" t="str">
        <v>אבוקדו</v>
      </c>
      <c r="I341">
        <v>10</v>
      </c>
      <c r="J341">
        <v>60</v>
      </c>
      <c r="K341">
        <v>600</v>
      </c>
    </row>
    <row r="342">
      <c r="D342" t="str">
        <v>70936</v>
      </c>
      <c r="E342" t="str">
        <v>קינג קונג נהריה(קינג געתון בע"מ)</v>
      </c>
      <c r="F342">
        <v>451380</v>
      </c>
      <c r="G342">
        <v>46019</v>
      </c>
      <c r="H342" t="str">
        <v>אבוקדו</v>
      </c>
      <c r="I342">
        <v>10</v>
      </c>
      <c r="J342">
        <v>90</v>
      </c>
      <c r="K342">
        <v>900</v>
      </c>
    </row>
    <row r="343">
      <c r="J343">
        <f>SUM(J287:J342)</f>
        <v>2243</v>
      </c>
    </row>
    <row r="344">
      <c r="A344" t="str">
        <v>קינג קונג חדרה בע"מ</v>
      </c>
      <c r="B344" t="str">
        <v>70964</v>
      </c>
      <c r="C344">
        <v>724</v>
      </c>
    </row>
    <row r="345">
      <c r="D345" t="str">
        <v>70964</v>
      </c>
      <c r="E345" t="str">
        <v>קינג קונג חדרה בע"מ</v>
      </c>
      <c r="F345">
        <v>810582</v>
      </c>
      <c r="G345">
        <v>45933</v>
      </c>
      <c r="H345" t="str">
        <v>בטטה</v>
      </c>
      <c r="I345">
        <v>5</v>
      </c>
      <c r="J345">
        <v>10</v>
      </c>
      <c r="K345">
        <v>50</v>
      </c>
    </row>
    <row r="346">
      <c r="D346" t="str">
        <v>70964</v>
      </c>
      <c r="E346" t="str">
        <v>קינג קונג חדרה בע"מ</v>
      </c>
      <c r="F346">
        <v>810682</v>
      </c>
      <c r="G346">
        <v>45935</v>
      </c>
      <c r="H346" t="str">
        <v>בטטה</v>
      </c>
      <c r="I346">
        <v>5</v>
      </c>
      <c r="J346">
        <v>10</v>
      </c>
      <c r="K346">
        <v>50</v>
      </c>
    </row>
    <row r="347">
      <c r="D347" t="str">
        <v>70964</v>
      </c>
      <c r="E347" t="str">
        <v>קינג קונג חדרה בע"מ</v>
      </c>
      <c r="F347">
        <v>1560</v>
      </c>
      <c r="G347">
        <v>45939</v>
      </c>
      <c r="H347" t="str">
        <v>בטטה</v>
      </c>
      <c r="I347">
        <v>5</v>
      </c>
      <c r="J347">
        <v>10</v>
      </c>
      <c r="K347">
        <v>50</v>
      </c>
    </row>
    <row r="348">
      <c r="D348" t="str">
        <v>70964</v>
      </c>
      <c r="E348" t="str">
        <v>קינג קונג חדרה בע"מ</v>
      </c>
      <c r="F348">
        <v>1693</v>
      </c>
      <c r="G348">
        <v>45942</v>
      </c>
      <c r="H348" t="str">
        <v>בטטה</v>
      </c>
      <c r="I348">
        <v>5</v>
      </c>
      <c r="J348">
        <v>10</v>
      </c>
      <c r="K348">
        <v>50</v>
      </c>
    </row>
    <row r="349">
      <c r="D349" t="str">
        <v>70964</v>
      </c>
      <c r="E349" t="str">
        <v>קינג קונג חדרה בע"מ</v>
      </c>
      <c r="F349">
        <v>2007</v>
      </c>
      <c r="G349">
        <v>45946</v>
      </c>
      <c r="H349" t="str">
        <v>בטטה</v>
      </c>
      <c r="I349">
        <v>5</v>
      </c>
      <c r="J349">
        <v>10</v>
      </c>
      <c r="K349">
        <v>50</v>
      </c>
    </row>
    <row r="350">
      <c r="D350" t="str">
        <v>70964</v>
      </c>
      <c r="E350" t="str">
        <v>קינג קונג חדרה בע"מ</v>
      </c>
      <c r="F350">
        <v>2108</v>
      </c>
      <c r="G350">
        <v>45949</v>
      </c>
      <c r="H350" t="str">
        <v>בטטה</v>
      </c>
      <c r="I350">
        <v>5</v>
      </c>
      <c r="J350">
        <v>10</v>
      </c>
      <c r="K350">
        <v>50</v>
      </c>
    </row>
    <row r="351">
      <c r="D351" t="str">
        <v>70964</v>
      </c>
      <c r="E351" t="str">
        <v>קינג קונג חדרה בע"מ</v>
      </c>
      <c r="F351">
        <v>2314</v>
      </c>
      <c r="G351">
        <v>45951</v>
      </c>
      <c r="H351" t="str">
        <v>בטטה</v>
      </c>
      <c r="I351">
        <v>5</v>
      </c>
      <c r="J351">
        <v>10</v>
      </c>
      <c r="K351">
        <v>50</v>
      </c>
    </row>
    <row r="352">
      <c r="D352" t="str">
        <v>70964</v>
      </c>
      <c r="E352" t="str">
        <v>קינג קונג חדרה בע"מ</v>
      </c>
      <c r="F352">
        <v>2513</v>
      </c>
      <c r="G352">
        <v>45953</v>
      </c>
      <c r="H352" t="str">
        <v>בטטה</v>
      </c>
      <c r="I352">
        <v>5</v>
      </c>
      <c r="J352">
        <v>10</v>
      </c>
      <c r="K352">
        <v>50</v>
      </c>
    </row>
    <row r="353">
      <c r="D353" t="str">
        <v>70964</v>
      </c>
      <c r="E353" t="str">
        <v>קינג קונג חדרה בע"מ</v>
      </c>
      <c r="F353">
        <v>2697</v>
      </c>
      <c r="G353">
        <v>45956</v>
      </c>
      <c r="H353" t="str">
        <v>בטטה</v>
      </c>
      <c r="I353">
        <v>5</v>
      </c>
      <c r="J353">
        <v>10</v>
      </c>
      <c r="K353">
        <v>50</v>
      </c>
    </row>
    <row r="354">
      <c r="D354" t="str">
        <v>70964</v>
      </c>
      <c r="E354" t="str">
        <v>קינג קונג חדרה בע"מ</v>
      </c>
      <c r="F354">
        <v>2888</v>
      </c>
      <c r="G354">
        <v>45958</v>
      </c>
      <c r="H354" t="str">
        <v>בטטה</v>
      </c>
      <c r="I354">
        <v>5</v>
      </c>
      <c r="J354">
        <v>10</v>
      </c>
      <c r="K354">
        <v>50</v>
      </c>
    </row>
    <row r="355">
      <c r="D355" t="str">
        <v>70964</v>
      </c>
      <c r="E355" t="str">
        <v>קינג קונג חדרה בע"מ</v>
      </c>
      <c r="F355">
        <v>3038</v>
      </c>
      <c r="G355">
        <v>45960</v>
      </c>
      <c r="H355" t="str">
        <v>בטטה</v>
      </c>
      <c r="I355">
        <v>5</v>
      </c>
      <c r="J355">
        <v>10</v>
      </c>
      <c r="K355">
        <v>50</v>
      </c>
    </row>
    <row r="356">
      <c r="D356" t="str">
        <v>70964</v>
      </c>
      <c r="E356" t="str">
        <v>קינג קונג חדרה בע"מ</v>
      </c>
      <c r="F356">
        <v>9119</v>
      </c>
      <c r="G356">
        <v>45963</v>
      </c>
      <c r="H356" t="str">
        <v>בטטה</v>
      </c>
      <c r="I356">
        <v>5</v>
      </c>
      <c r="J356">
        <v>10</v>
      </c>
      <c r="K356">
        <v>50</v>
      </c>
    </row>
    <row r="357">
      <c r="D357" t="str">
        <v>70964</v>
      </c>
      <c r="E357" t="str">
        <v>קינג קונג חדרה בע"מ</v>
      </c>
      <c r="F357">
        <v>447478</v>
      </c>
      <c r="G357">
        <v>45965</v>
      </c>
      <c r="H357" t="str">
        <v>בטטה</v>
      </c>
      <c r="I357">
        <v>5</v>
      </c>
      <c r="J357">
        <v>10</v>
      </c>
      <c r="K357">
        <v>50</v>
      </c>
    </row>
    <row r="358">
      <c r="D358" t="str">
        <v>70964</v>
      </c>
      <c r="E358" t="str">
        <v>קינג קונג חדרה בע"מ</v>
      </c>
      <c r="F358">
        <v>447671</v>
      </c>
      <c r="G358">
        <v>45967</v>
      </c>
      <c r="H358" t="str">
        <v>בטטה</v>
      </c>
      <c r="I358">
        <v>5</v>
      </c>
      <c r="J358">
        <v>10</v>
      </c>
      <c r="K358">
        <v>50</v>
      </c>
    </row>
    <row r="359">
      <c r="D359" t="str">
        <v>70964</v>
      </c>
      <c r="E359" t="str">
        <v>קינג קונג חדרה בע"מ</v>
      </c>
      <c r="F359">
        <v>447760</v>
      </c>
      <c r="G359">
        <v>45970</v>
      </c>
      <c r="H359" t="str">
        <v>בטטה</v>
      </c>
      <c r="I359">
        <v>5</v>
      </c>
      <c r="J359">
        <v>10</v>
      </c>
      <c r="K359">
        <v>50</v>
      </c>
    </row>
    <row r="360">
      <c r="D360" t="str">
        <v>70964</v>
      </c>
      <c r="E360" t="str">
        <v>קינג קונג חדרה בע"מ</v>
      </c>
      <c r="F360">
        <v>447988</v>
      </c>
      <c r="G360">
        <v>45972</v>
      </c>
      <c r="H360" t="str">
        <v>בטטה</v>
      </c>
      <c r="I360">
        <v>5</v>
      </c>
      <c r="J360">
        <v>20</v>
      </c>
      <c r="K360">
        <v>100</v>
      </c>
    </row>
    <row r="361">
      <c r="D361" t="str">
        <v>70964</v>
      </c>
      <c r="E361" t="str">
        <v>קינג קונג חדרה בע"מ</v>
      </c>
      <c r="F361">
        <v>448166</v>
      </c>
      <c r="G361">
        <v>45974</v>
      </c>
      <c r="H361" t="str">
        <v>בטטה</v>
      </c>
      <c r="I361">
        <v>5</v>
      </c>
      <c r="J361">
        <v>10</v>
      </c>
      <c r="K361">
        <v>50</v>
      </c>
    </row>
    <row r="362">
      <c r="D362" t="str">
        <v>70964</v>
      </c>
      <c r="E362" t="str">
        <v>קינג קונג חדרה בע"מ</v>
      </c>
      <c r="F362">
        <v>448351</v>
      </c>
      <c r="G362">
        <v>45977</v>
      </c>
      <c r="H362" t="str">
        <v>בטטה</v>
      </c>
      <c r="I362">
        <v>5</v>
      </c>
      <c r="J362">
        <v>10</v>
      </c>
      <c r="K362">
        <v>50</v>
      </c>
    </row>
    <row r="363">
      <c r="D363" t="str">
        <v>70964</v>
      </c>
      <c r="E363" t="str">
        <v>קינג קונג חדרה בע"מ</v>
      </c>
      <c r="F363">
        <v>448554</v>
      </c>
      <c r="G363">
        <v>45979</v>
      </c>
      <c r="H363" t="str">
        <v>בטטה</v>
      </c>
      <c r="I363">
        <v>5</v>
      </c>
      <c r="J363">
        <v>10</v>
      </c>
      <c r="K363">
        <v>50</v>
      </c>
    </row>
    <row r="364">
      <c r="D364" t="str">
        <v>70964</v>
      </c>
      <c r="E364" t="str">
        <v>קינג קונג חדרה בע"מ</v>
      </c>
      <c r="F364">
        <v>448701</v>
      </c>
      <c r="G364">
        <v>45981</v>
      </c>
      <c r="H364" t="str">
        <v>בטטה</v>
      </c>
      <c r="I364">
        <v>5</v>
      </c>
      <c r="J364">
        <v>10</v>
      </c>
      <c r="K364">
        <v>50</v>
      </c>
    </row>
    <row r="365">
      <c r="D365" t="str">
        <v>70964</v>
      </c>
      <c r="E365" t="str">
        <v>קינג קונג חדרה בע"מ</v>
      </c>
      <c r="F365">
        <v>448823</v>
      </c>
      <c r="G365">
        <v>45984</v>
      </c>
      <c r="H365" t="str">
        <v>בטטה</v>
      </c>
      <c r="I365">
        <v>5</v>
      </c>
      <c r="J365">
        <v>10</v>
      </c>
      <c r="K365">
        <v>50</v>
      </c>
    </row>
    <row r="366">
      <c r="D366" t="str">
        <v>70964</v>
      </c>
      <c r="E366" t="str">
        <v>קינג קונג חדרה בע"מ</v>
      </c>
      <c r="F366">
        <v>449031</v>
      </c>
      <c r="G366">
        <v>45986</v>
      </c>
      <c r="H366" t="str">
        <v>בטטה</v>
      </c>
      <c r="I366">
        <v>5</v>
      </c>
      <c r="J366">
        <v>10</v>
      </c>
      <c r="K366">
        <v>50</v>
      </c>
    </row>
    <row r="367">
      <c r="D367" t="str">
        <v>70964</v>
      </c>
      <c r="E367" t="str">
        <v>קינג קונג חדרה בע"מ</v>
      </c>
      <c r="F367">
        <v>449198</v>
      </c>
      <c r="G367">
        <v>45988</v>
      </c>
      <c r="H367" t="str">
        <v>בטטה</v>
      </c>
      <c r="I367">
        <v>5</v>
      </c>
      <c r="J367">
        <v>10</v>
      </c>
      <c r="K367">
        <v>50</v>
      </c>
    </row>
    <row r="368">
      <c r="D368" t="str">
        <v>70964</v>
      </c>
      <c r="E368" t="str">
        <v>קינג קונג חדרה בע"מ</v>
      </c>
      <c r="F368">
        <v>449321</v>
      </c>
      <c r="G368">
        <v>45991</v>
      </c>
      <c r="H368" t="str">
        <v>בטטה</v>
      </c>
      <c r="I368">
        <v>5</v>
      </c>
      <c r="J368">
        <v>10</v>
      </c>
      <c r="K368">
        <v>50</v>
      </c>
    </row>
    <row r="369">
      <c r="D369" t="str">
        <v>70964</v>
      </c>
      <c r="E369" t="str">
        <v>קינג קונג חדרה בע"מ</v>
      </c>
      <c r="F369">
        <v>449528</v>
      </c>
      <c r="G369">
        <v>45993</v>
      </c>
      <c r="H369" t="str">
        <v>בטטה</v>
      </c>
      <c r="I369">
        <v>5</v>
      </c>
      <c r="J369">
        <v>10</v>
      </c>
      <c r="K369">
        <v>50</v>
      </c>
    </row>
    <row r="370">
      <c r="D370" t="str">
        <v>70964</v>
      </c>
      <c r="E370" t="str">
        <v>קינג קונג חדרה בע"מ</v>
      </c>
      <c r="F370">
        <v>449642</v>
      </c>
      <c r="G370">
        <v>45995</v>
      </c>
      <c r="H370" t="str">
        <v>בטטה</v>
      </c>
      <c r="I370">
        <v>5</v>
      </c>
      <c r="J370">
        <v>10</v>
      </c>
      <c r="K370">
        <v>50</v>
      </c>
    </row>
    <row r="371">
      <c r="D371" t="str">
        <v>70964</v>
      </c>
      <c r="E371" t="str">
        <v>קינג קונג חדרה בע"מ</v>
      </c>
      <c r="F371">
        <v>449823</v>
      </c>
      <c r="G371">
        <v>45998</v>
      </c>
      <c r="H371" t="str">
        <v>בטטה</v>
      </c>
      <c r="I371">
        <v>5</v>
      </c>
      <c r="J371">
        <v>10</v>
      </c>
      <c r="K371">
        <v>50</v>
      </c>
    </row>
    <row r="372">
      <c r="D372" t="str">
        <v>70964</v>
      </c>
      <c r="E372" t="str">
        <v>קינג קונג חדרה בע"מ</v>
      </c>
      <c r="F372">
        <v>449982</v>
      </c>
      <c r="G372">
        <v>46000</v>
      </c>
      <c r="H372" t="str">
        <v>בטטה</v>
      </c>
      <c r="I372">
        <v>5</v>
      </c>
      <c r="J372">
        <v>10</v>
      </c>
      <c r="K372">
        <v>50</v>
      </c>
    </row>
    <row r="373">
      <c r="D373" t="str">
        <v>70964</v>
      </c>
      <c r="E373" t="str">
        <v>קינג קונג חדרה בע"מ</v>
      </c>
      <c r="F373">
        <v>450137</v>
      </c>
      <c r="G373">
        <v>46002</v>
      </c>
      <c r="H373" t="str">
        <v>בטטה</v>
      </c>
      <c r="I373">
        <v>5</v>
      </c>
      <c r="J373">
        <v>10</v>
      </c>
      <c r="K373">
        <v>50</v>
      </c>
    </row>
    <row r="374">
      <c r="D374" t="str">
        <v>70964</v>
      </c>
      <c r="E374" t="str">
        <v>קינג קונג חדרה בע"מ</v>
      </c>
      <c r="F374">
        <v>450311</v>
      </c>
      <c r="G374">
        <v>46005</v>
      </c>
      <c r="H374" t="str">
        <v>בטטה</v>
      </c>
      <c r="I374">
        <v>5</v>
      </c>
      <c r="J374">
        <v>10</v>
      </c>
      <c r="K374">
        <v>50</v>
      </c>
    </row>
    <row r="375">
      <c r="D375" t="str">
        <v>70964</v>
      </c>
      <c r="E375" t="str">
        <v>קינג קונג חדרה בע"מ</v>
      </c>
      <c r="F375">
        <v>450475</v>
      </c>
      <c r="G375">
        <v>46007</v>
      </c>
      <c r="H375" t="str">
        <v>בטטה</v>
      </c>
      <c r="I375">
        <v>5</v>
      </c>
      <c r="J375">
        <v>20</v>
      </c>
      <c r="K375">
        <v>100</v>
      </c>
    </row>
    <row r="376">
      <c r="D376" t="str">
        <v>70964</v>
      </c>
      <c r="E376" t="str">
        <v>קינג קונג חדרה בע"מ</v>
      </c>
      <c r="F376">
        <v>450646</v>
      </c>
      <c r="G376">
        <v>46009</v>
      </c>
      <c r="H376" t="str">
        <v>בטטה</v>
      </c>
      <c r="I376">
        <v>5</v>
      </c>
      <c r="J376">
        <v>10</v>
      </c>
      <c r="K376">
        <v>50</v>
      </c>
    </row>
    <row r="377">
      <c r="D377" t="str">
        <v>70964</v>
      </c>
      <c r="E377" t="str">
        <v>קינג קונג חדרה בע"מ</v>
      </c>
      <c r="F377">
        <v>450828</v>
      </c>
      <c r="G377">
        <v>46012</v>
      </c>
      <c r="H377" t="str">
        <v>בטטה</v>
      </c>
      <c r="I377">
        <v>5</v>
      </c>
      <c r="J377">
        <v>10</v>
      </c>
      <c r="K377">
        <v>50</v>
      </c>
    </row>
    <row r="378">
      <c r="D378" t="str">
        <v>70964</v>
      </c>
      <c r="E378" t="str">
        <v>קינג קונג חדרה בע"מ</v>
      </c>
      <c r="F378">
        <v>451029</v>
      </c>
      <c r="G378">
        <v>46014</v>
      </c>
      <c r="H378" t="str">
        <v>בטטה</v>
      </c>
      <c r="I378">
        <v>5</v>
      </c>
      <c r="J378">
        <v>10</v>
      </c>
      <c r="K378">
        <v>50</v>
      </c>
    </row>
    <row r="379">
      <c r="D379" t="str">
        <v>70964</v>
      </c>
      <c r="E379" t="str">
        <v>קינג קונג חדרה בע"מ</v>
      </c>
      <c r="F379">
        <v>451235</v>
      </c>
      <c r="G379">
        <v>46016</v>
      </c>
      <c r="H379" t="str">
        <v>בטטה</v>
      </c>
      <c r="I379">
        <v>5</v>
      </c>
      <c r="J379">
        <v>20</v>
      </c>
      <c r="K379">
        <v>100</v>
      </c>
    </row>
    <row r="380">
      <c r="D380" t="str">
        <v>70964</v>
      </c>
      <c r="E380" t="str">
        <v>קינג קונג חדרה בע"מ</v>
      </c>
      <c r="F380">
        <v>451355</v>
      </c>
      <c r="G380">
        <v>46019</v>
      </c>
      <c r="H380" t="str">
        <v>בטטה</v>
      </c>
      <c r="I380">
        <v>5</v>
      </c>
      <c r="J380">
        <v>10</v>
      </c>
      <c r="K380">
        <v>50</v>
      </c>
    </row>
    <row r="381">
      <c r="D381" t="str">
        <v>70964</v>
      </c>
      <c r="E381" t="str">
        <v>קינג קונג חדרה בע"מ</v>
      </c>
      <c r="F381">
        <v>451587</v>
      </c>
      <c r="G381">
        <v>46021</v>
      </c>
      <c r="H381" t="str">
        <v>בטטה</v>
      </c>
      <c r="I381">
        <v>5</v>
      </c>
      <c r="J381">
        <v>20</v>
      </c>
      <c r="K381">
        <v>100</v>
      </c>
    </row>
    <row r="382">
      <c r="D382" t="str">
        <v>70964</v>
      </c>
      <c r="E382" t="str">
        <v>קינג קונג חדרה בע"מ</v>
      </c>
      <c r="F382">
        <v>810582</v>
      </c>
      <c r="G382">
        <v>45933</v>
      </c>
      <c r="H382" t="str">
        <v>אבוקדו</v>
      </c>
      <c r="I382">
        <v>11.5</v>
      </c>
      <c r="J382">
        <v>20</v>
      </c>
      <c r="K382">
        <v>230</v>
      </c>
    </row>
    <row r="383">
      <c r="D383" t="str">
        <v>70964</v>
      </c>
      <c r="E383" t="str">
        <v>קינג קונג חדרה בע"מ</v>
      </c>
      <c r="F383">
        <v>810682</v>
      </c>
      <c r="G383">
        <v>45935</v>
      </c>
      <c r="H383" t="str">
        <v>אבוקדו</v>
      </c>
      <c r="I383">
        <v>11.5</v>
      </c>
      <c r="J383">
        <v>30</v>
      </c>
      <c r="K383">
        <v>345</v>
      </c>
    </row>
    <row r="384">
      <c r="D384" t="str">
        <v>70964</v>
      </c>
      <c r="E384" t="str">
        <v>קינג קונג חדרה בע"מ</v>
      </c>
      <c r="F384">
        <v>1560</v>
      </c>
      <c r="G384">
        <v>45939</v>
      </c>
      <c r="H384" t="str">
        <v>אבוקדו</v>
      </c>
      <c r="I384">
        <v>10</v>
      </c>
      <c r="J384">
        <v>40</v>
      </c>
      <c r="K384">
        <v>400</v>
      </c>
    </row>
    <row r="385">
      <c r="D385" t="str">
        <v>70964</v>
      </c>
      <c r="E385" t="str">
        <v>קינג קונג חדרה בע"מ</v>
      </c>
      <c r="F385">
        <v>1693</v>
      </c>
      <c r="G385">
        <v>45942</v>
      </c>
      <c r="H385" t="str">
        <v>אבוקדו</v>
      </c>
      <c r="I385">
        <v>10</v>
      </c>
      <c r="J385">
        <v>40</v>
      </c>
      <c r="K385">
        <v>400</v>
      </c>
    </row>
    <row r="386">
      <c r="D386" t="str">
        <v>70964</v>
      </c>
      <c r="E386" t="str">
        <v>קינג קונג חדרה בע"מ</v>
      </c>
      <c r="F386">
        <v>1818</v>
      </c>
      <c r="G386">
        <v>45942</v>
      </c>
      <c r="H386" t="str">
        <v>אבוקדו</v>
      </c>
      <c r="I386">
        <v>10</v>
      </c>
      <c r="J386">
        <v>-2</v>
      </c>
      <c r="K386">
        <v>-20</v>
      </c>
    </row>
    <row r="387">
      <c r="D387" t="str">
        <v>70964</v>
      </c>
      <c r="E387" t="str">
        <v>קינג קונג חדרה בע"מ</v>
      </c>
      <c r="F387">
        <v>2007</v>
      </c>
      <c r="G387">
        <v>45946</v>
      </c>
      <c r="H387" t="str">
        <v>אבוקדו</v>
      </c>
      <c r="I387">
        <v>10</v>
      </c>
      <c r="J387">
        <v>30</v>
      </c>
      <c r="K387">
        <v>300</v>
      </c>
    </row>
    <row r="388">
      <c r="D388" t="str">
        <v>70964</v>
      </c>
      <c r="E388" t="str">
        <v>קינג קונג חדרה בע"מ</v>
      </c>
      <c r="F388">
        <v>2108</v>
      </c>
      <c r="G388">
        <v>45949</v>
      </c>
      <c r="H388" t="str">
        <v>אבוקדו</v>
      </c>
      <c r="I388">
        <v>10</v>
      </c>
      <c r="J388">
        <v>30</v>
      </c>
      <c r="K388">
        <v>300</v>
      </c>
    </row>
    <row r="389">
      <c r="D389" t="str">
        <v>70964</v>
      </c>
      <c r="E389" t="str">
        <v>קינג קונג חדרה בע"מ</v>
      </c>
      <c r="F389">
        <v>2314</v>
      </c>
      <c r="G389">
        <v>45951</v>
      </c>
      <c r="H389" t="str">
        <v>אבוקדו</v>
      </c>
      <c r="I389">
        <v>10</v>
      </c>
      <c r="J389">
        <v>30</v>
      </c>
      <c r="K389">
        <v>300</v>
      </c>
    </row>
    <row r="390">
      <c r="D390" t="str">
        <v>70964</v>
      </c>
      <c r="E390" t="str">
        <v>קינג קונג חדרה בע"מ</v>
      </c>
      <c r="F390">
        <v>2513</v>
      </c>
      <c r="G390">
        <v>45953</v>
      </c>
      <c r="H390" t="str">
        <v>אבוקדו</v>
      </c>
      <c r="I390">
        <v>10</v>
      </c>
      <c r="J390">
        <v>30</v>
      </c>
      <c r="K390">
        <v>300</v>
      </c>
    </row>
    <row r="391">
      <c r="D391" t="str">
        <v>70964</v>
      </c>
      <c r="E391" t="str">
        <v>קינג קונג חדרה בע"מ</v>
      </c>
      <c r="F391">
        <v>2697</v>
      </c>
      <c r="G391">
        <v>45956</v>
      </c>
      <c r="H391" t="str">
        <v>אבוקדו</v>
      </c>
      <c r="I391">
        <v>10</v>
      </c>
      <c r="J391">
        <v>20</v>
      </c>
      <c r="K391">
        <v>200</v>
      </c>
    </row>
    <row r="392">
      <c r="D392" t="str">
        <v>70964</v>
      </c>
      <c r="E392" t="str">
        <v>קינג קונג חדרה בע"מ</v>
      </c>
      <c r="F392">
        <v>2888</v>
      </c>
      <c r="G392">
        <v>45958</v>
      </c>
      <c r="H392" t="str">
        <v>אבוקדו</v>
      </c>
      <c r="I392">
        <v>10</v>
      </c>
      <c r="J392">
        <v>30</v>
      </c>
      <c r="K392">
        <v>300</v>
      </c>
    </row>
    <row r="393">
      <c r="D393" t="str">
        <v>70964</v>
      </c>
      <c r="E393" t="str">
        <v>קינג קונג חדרה בע"מ</v>
      </c>
      <c r="F393">
        <v>3038</v>
      </c>
      <c r="G393">
        <v>45960</v>
      </c>
      <c r="H393" t="str">
        <v>אבוקדו</v>
      </c>
      <c r="I393">
        <v>10</v>
      </c>
      <c r="J393">
        <v>20</v>
      </c>
      <c r="K393">
        <v>200</v>
      </c>
    </row>
    <row r="394">
      <c r="D394" t="str">
        <v>70964</v>
      </c>
      <c r="E394" t="str">
        <v>קינג קונג חדרה בע"מ</v>
      </c>
      <c r="F394">
        <v>9119</v>
      </c>
      <c r="G394">
        <v>45963</v>
      </c>
      <c r="H394" t="str">
        <v>אבוקדו</v>
      </c>
      <c r="I394">
        <v>10</v>
      </c>
      <c r="J394">
        <v>30</v>
      </c>
      <c r="K394">
        <v>300</v>
      </c>
    </row>
    <row r="395">
      <c r="D395" t="str">
        <v>70964</v>
      </c>
      <c r="E395" t="str">
        <v>קינג קונג חדרה בע"מ</v>
      </c>
      <c r="F395">
        <v>447478</v>
      </c>
      <c r="G395">
        <v>45965</v>
      </c>
      <c r="H395" t="str">
        <v>אבוקדו</v>
      </c>
      <c r="I395">
        <v>10</v>
      </c>
      <c r="J395">
        <v>30</v>
      </c>
      <c r="K395">
        <v>300</v>
      </c>
    </row>
    <row r="396">
      <c r="D396" t="str">
        <v>70964</v>
      </c>
      <c r="E396" t="str">
        <v>קינג קונג חדרה בע"מ</v>
      </c>
      <c r="F396">
        <v>447671</v>
      </c>
      <c r="G396">
        <v>45967</v>
      </c>
      <c r="H396" t="str">
        <v>אבוקדו</v>
      </c>
      <c r="I396">
        <v>10</v>
      </c>
      <c r="J396">
        <v>20</v>
      </c>
      <c r="K396">
        <v>200</v>
      </c>
    </row>
    <row r="397">
      <c r="D397" t="str">
        <v>70964</v>
      </c>
      <c r="E397" t="str">
        <v>קינג קונג חדרה בע"מ</v>
      </c>
      <c r="F397">
        <v>447760</v>
      </c>
      <c r="G397">
        <v>45970</v>
      </c>
      <c r="H397" t="str">
        <v>אבוקדו</v>
      </c>
      <c r="I397">
        <v>10</v>
      </c>
      <c r="J397">
        <v>40</v>
      </c>
      <c r="K397">
        <v>400</v>
      </c>
    </row>
    <row r="398">
      <c r="D398" t="str">
        <v>70964</v>
      </c>
      <c r="E398" t="str">
        <v>קינג קונג חדרה בע"מ</v>
      </c>
      <c r="F398">
        <v>447988</v>
      </c>
      <c r="G398">
        <v>45972</v>
      </c>
      <c r="H398" t="str">
        <v>אבוקדו</v>
      </c>
      <c r="I398">
        <v>10</v>
      </c>
      <c r="J398">
        <v>40</v>
      </c>
      <c r="K398">
        <v>400</v>
      </c>
    </row>
    <row r="399">
      <c r="D399" t="str">
        <v>70964</v>
      </c>
      <c r="E399" t="str">
        <v>קינג קונג חדרה בע"מ</v>
      </c>
      <c r="F399">
        <v>448166</v>
      </c>
      <c r="G399">
        <v>45974</v>
      </c>
      <c r="H399" t="str">
        <v>אבוקדו</v>
      </c>
      <c r="I399">
        <v>10</v>
      </c>
      <c r="J399">
        <v>30</v>
      </c>
      <c r="K399">
        <v>300</v>
      </c>
    </row>
    <row r="400">
      <c r="D400" t="str">
        <v>70964</v>
      </c>
      <c r="E400" t="str">
        <v>קינג קונג חדרה בע"מ</v>
      </c>
      <c r="F400">
        <v>448351</v>
      </c>
      <c r="G400">
        <v>45977</v>
      </c>
      <c r="H400" t="str">
        <v>אבוקדו</v>
      </c>
      <c r="I400">
        <v>10</v>
      </c>
      <c r="J400">
        <v>30</v>
      </c>
      <c r="K400">
        <v>300</v>
      </c>
    </row>
    <row r="401">
      <c r="D401" t="str">
        <v>70964</v>
      </c>
      <c r="E401" t="str">
        <v>קינג קונג חדרה בע"מ</v>
      </c>
      <c r="F401">
        <v>448554</v>
      </c>
      <c r="G401">
        <v>45979</v>
      </c>
      <c r="H401" t="str">
        <v>אבוקדו</v>
      </c>
      <c r="I401">
        <v>10</v>
      </c>
      <c r="J401">
        <v>30</v>
      </c>
      <c r="K401">
        <v>300</v>
      </c>
    </row>
    <row r="402">
      <c r="D402" t="str">
        <v>70964</v>
      </c>
      <c r="E402" t="str">
        <v>קינג קונג חדרה בע"מ</v>
      </c>
      <c r="F402">
        <v>448701</v>
      </c>
      <c r="G402">
        <v>45981</v>
      </c>
      <c r="H402" t="str">
        <v>אבוקדו</v>
      </c>
      <c r="I402">
        <v>10</v>
      </c>
      <c r="J402">
        <v>30</v>
      </c>
      <c r="K402">
        <v>300</v>
      </c>
    </row>
    <row r="403">
      <c r="D403" t="str">
        <v>70964</v>
      </c>
      <c r="E403" t="str">
        <v>קינג קונג חדרה בע"מ</v>
      </c>
      <c r="F403">
        <v>448823</v>
      </c>
      <c r="G403">
        <v>45984</v>
      </c>
      <c r="H403" t="str">
        <v>אבוקדו</v>
      </c>
      <c r="I403">
        <v>10</v>
      </c>
      <c r="J403">
        <v>30</v>
      </c>
      <c r="K403">
        <v>300</v>
      </c>
    </row>
    <row r="404">
      <c r="D404" t="str">
        <v>70964</v>
      </c>
      <c r="E404" t="str">
        <v>קינג קונג חדרה בע"מ</v>
      </c>
      <c r="F404">
        <v>449031</v>
      </c>
      <c r="G404">
        <v>45986</v>
      </c>
      <c r="H404" t="str">
        <v>אבוקדו</v>
      </c>
      <c r="I404">
        <v>10</v>
      </c>
      <c r="J404">
        <v>20</v>
      </c>
      <c r="K404">
        <v>200</v>
      </c>
    </row>
    <row r="405">
      <c r="D405" t="str">
        <v>70964</v>
      </c>
      <c r="E405" t="str">
        <v>קינג קונג חדרה בע"מ</v>
      </c>
      <c r="F405">
        <v>449198</v>
      </c>
      <c r="G405">
        <v>45988</v>
      </c>
      <c r="H405" t="str">
        <v>אבוקדו</v>
      </c>
      <c r="I405">
        <v>10</v>
      </c>
      <c r="J405">
        <v>30</v>
      </c>
      <c r="K405">
        <v>300</v>
      </c>
    </row>
    <row r="406">
      <c r="D406" t="str">
        <v>70964</v>
      </c>
      <c r="E406" t="str">
        <v>קינג קונג חדרה בע"מ</v>
      </c>
      <c r="F406">
        <v>449321</v>
      </c>
      <c r="G406">
        <v>45991</v>
      </c>
      <c r="H406" t="str">
        <v>אבוקדו</v>
      </c>
      <c r="I406">
        <v>10</v>
      </c>
      <c r="J406">
        <v>20</v>
      </c>
      <c r="K406">
        <v>200</v>
      </c>
    </row>
    <row r="407">
      <c r="D407" t="str">
        <v>70964</v>
      </c>
      <c r="E407" t="str">
        <v>קינג קונג חדרה בע"מ</v>
      </c>
      <c r="F407">
        <v>451137</v>
      </c>
      <c r="G407">
        <v>45991</v>
      </c>
      <c r="H407" t="str">
        <v>אבוקדו</v>
      </c>
      <c r="I407">
        <v>10</v>
      </c>
      <c r="J407">
        <v>-12</v>
      </c>
      <c r="K407">
        <v>-118</v>
      </c>
    </row>
    <row r="408">
      <c r="D408" t="str">
        <v>70964</v>
      </c>
      <c r="E408" t="str">
        <v>קינג קונג חדרה בע"מ</v>
      </c>
      <c r="F408">
        <v>449528</v>
      </c>
      <c r="G408">
        <v>45993</v>
      </c>
      <c r="H408" t="str">
        <v>אבוקדו</v>
      </c>
      <c r="I408">
        <v>10</v>
      </c>
      <c r="J408">
        <v>30</v>
      </c>
      <c r="K408">
        <v>300</v>
      </c>
    </row>
    <row r="409">
      <c r="D409" t="str">
        <v>70964</v>
      </c>
      <c r="E409" t="str">
        <v>קינג קונג חדרה בע"מ</v>
      </c>
      <c r="F409">
        <v>449642</v>
      </c>
      <c r="G409">
        <v>45995</v>
      </c>
      <c r="H409" t="str">
        <v>אבוקדו</v>
      </c>
      <c r="I409">
        <v>10</v>
      </c>
      <c r="J409">
        <v>40</v>
      </c>
      <c r="K409">
        <v>400</v>
      </c>
    </row>
    <row r="410">
      <c r="D410" t="str">
        <v>70964</v>
      </c>
      <c r="E410" t="str">
        <v>קינג קונג חדרה בע"מ</v>
      </c>
      <c r="F410">
        <v>449823</v>
      </c>
      <c r="G410">
        <v>45998</v>
      </c>
      <c r="H410" t="str">
        <v>אבוקדו</v>
      </c>
      <c r="I410">
        <v>10</v>
      </c>
      <c r="J410">
        <v>30</v>
      </c>
      <c r="K410">
        <v>300</v>
      </c>
    </row>
    <row r="411">
      <c r="D411" t="str">
        <v>70964</v>
      </c>
      <c r="E411" t="str">
        <v>קינג קונג חדרה בע"מ</v>
      </c>
      <c r="F411">
        <v>450137</v>
      </c>
      <c r="G411">
        <v>46002</v>
      </c>
      <c r="H411" t="str">
        <v>אבוקדו</v>
      </c>
      <c r="I411">
        <v>10</v>
      </c>
      <c r="J411">
        <v>40</v>
      </c>
      <c r="K411">
        <v>400</v>
      </c>
    </row>
    <row r="412">
      <c r="D412" t="str">
        <v>70964</v>
      </c>
      <c r="E412" t="str">
        <v>קינג קונג חדרה בע"מ</v>
      </c>
      <c r="F412">
        <v>450311</v>
      </c>
      <c r="G412">
        <v>46005</v>
      </c>
      <c r="H412" t="str">
        <v>אבוקדו</v>
      </c>
      <c r="I412">
        <v>10</v>
      </c>
      <c r="J412">
        <v>30</v>
      </c>
      <c r="K412">
        <v>300</v>
      </c>
    </row>
    <row r="413">
      <c r="D413" t="str">
        <v>70964</v>
      </c>
      <c r="E413" t="str">
        <v>קינג קונג חדרה בע"מ</v>
      </c>
      <c r="F413">
        <v>450475</v>
      </c>
      <c r="G413">
        <v>46007</v>
      </c>
      <c r="H413" t="str">
        <v>אבוקדו</v>
      </c>
      <c r="I413">
        <v>10</v>
      </c>
      <c r="J413">
        <v>20</v>
      </c>
      <c r="K413">
        <v>200</v>
      </c>
    </row>
    <row r="414">
      <c r="D414" t="str">
        <v>70964</v>
      </c>
      <c r="E414" t="str">
        <v>קינג קונג חדרה בע"מ</v>
      </c>
      <c r="F414">
        <v>450646</v>
      </c>
      <c r="G414">
        <v>46009</v>
      </c>
      <c r="H414" t="str">
        <v>אבוקדו</v>
      </c>
      <c r="I414">
        <v>10</v>
      </c>
      <c r="J414">
        <v>20</v>
      </c>
      <c r="K414">
        <v>200</v>
      </c>
    </row>
    <row r="415">
      <c r="D415" t="str">
        <v>70964</v>
      </c>
      <c r="E415" t="str">
        <v>קינג קונג חדרה בע"מ</v>
      </c>
      <c r="F415">
        <v>450828</v>
      </c>
      <c r="G415">
        <v>46012</v>
      </c>
      <c r="H415" t="str">
        <v>אבוקדו</v>
      </c>
      <c r="I415">
        <v>10</v>
      </c>
      <c r="J415">
        <v>30</v>
      </c>
      <c r="K415">
        <v>300</v>
      </c>
    </row>
    <row r="416">
      <c r="D416" t="str">
        <v>70964</v>
      </c>
      <c r="E416" t="str">
        <v>קינג קונג חדרה בע"מ</v>
      </c>
      <c r="F416">
        <v>451029</v>
      </c>
      <c r="G416">
        <v>46014</v>
      </c>
      <c r="H416" t="str">
        <v>אבוקדו</v>
      </c>
      <c r="I416">
        <v>10</v>
      </c>
      <c r="J416">
        <v>30</v>
      </c>
      <c r="K416">
        <v>300</v>
      </c>
    </row>
    <row r="417">
      <c r="D417" t="str">
        <v>70964</v>
      </c>
      <c r="E417" t="str">
        <v>קינג קונג חדרה בע"מ</v>
      </c>
      <c r="F417">
        <v>451235</v>
      </c>
      <c r="G417">
        <v>46016</v>
      </c>
      <c r="H417" t="str">
        <v>אבוקדו</v>
      </c>
      <c r="I417">
        <v>10</v>
      </c>
      <c r="J417">
        <v>40</v>
      </c>
      <c r="K417">
        <v>400</v>
      </c>
    </row>
    <row r="418">
      <c r="D418" t="str">
        <v>70964</v>
      </c>
      <c r="E418" t="str">
        <v>קינג קונג חדרה בע"מ</v>
      </c>
      <c r="F418">
        <v>451355</v>
      </c>
      <c r="G418">
        <v>46019</v>
      </c>
      <c r="H418" t="str">
        <v>אבוקדו</v>
      </c>
      <c r="I418">
        <v>10</v>
      </c>
      <c r="J418">
        <v>30</v>
      </c>
      <c r="K418">
        <v>300</v>
      </c>
    </row>
    <row r="419">
      <c r="D419" t="str">
        <v>70964</v>
      </c>
      <c r="E419" t="str">
        <v>קינג קונג חדרה בע"מ</v>
      </c>
      <c r="F419">
        <v>451587</v>
      </c>
      <c r="G419">
        <v>46021</v>
      </c>
      <c r="H419" t="str">
        <v>אבוקדו</v>
      </c>
      <c r="I419">
        <v>10</v>
      </c>
      <c r="J419">
        <v>40</v>
      </c>
      <c r="K419">
        <v>400</v>
      </c>
    </row>
    <row r="420">
      <c r="J420">
        <f>SUM(J345:J419)</f>
        <v>1476</v>
      </c>
    </row>
    <row r="421">
      <c r="J421">
        <f>J420+J343+J285+J231+J164+J80</f>
        <v>14559</v>
      </c>
    </row>
  </sheetData>
  <pageMargins left="0.7" right="0.7" top="0.75" bottom="0.75" header="0.3" footer="0.3"/>
  <ignoredErrors>
    <ignoredError numberStoredAsText="1" sqref="A1:K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>We Ankor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מינה</vt:lpstr>
      <vt:lpstr>קינג קונג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2026-01-11T06:49:44Z</dcterms:created>
  <dcterms:modified xsi:type="dcterms:W3CDTF">2026-01-14T07:10:52Z</dcterms:modified>
  <cp:lastModifiedBy>מור בריאות</cp:lastModifiedBy>
  <dc:creator>מור בריאות</dc:creator>
</cp:coreProperties>
</file>