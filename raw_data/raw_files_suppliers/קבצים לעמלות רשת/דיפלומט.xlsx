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iplomatg-my.sharepoint.com/personal/orbe_diplomat-global_com/Documents/Desktop/רשתות/מינה טומי קינג קונג/"/>
    </mc:Choice>
  </mc:AlternateContent>
  <xr:revisionPtr revIDLastSave="36" documentId="8_{84951A0A-2504-48E1-8AB7-244895542BC1}" xr6:coauthVersionLast="47" xr6:coauthVersionMax="47" xr10:uidLastSave="{A4F70F07-4330-4092-9704-8B0692815B45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F11" i="1"/>
  <c r="F10" i="1"/>
  <c r="F9" i="1"/>
  <c r="F8" i="1"/>
  <c r="F7" i="1"/>
  <c r="F6" i="1"/>
  <c r="F5" i="1"/>
  <c r="F4" i="1"/>
  <c r="F3" i="1"/>
  <c r="F2" i="1"/>
  <c r="F14" i="1" l="1"/>
  <c r="F15" i="1" s="1"/>
</calcChain>
</file>

<file path=xl/sharedStrings.xml><?xml version="1.0" encoding="utf-8"?>
<sst xmlns="http://schemas.openxmlformats.org/spreadsheetml/2006/main" count="18" uniqueCount="18">
  <si>
    <t>Payer</t>
  </si>
  <si>
    <t>October</t>
  </si>
  <si>
    <t>November</t>
  </si>
  <si>
    <t>December</t>
  </si>
  <si>
    <t>אודון ניהול ואחזקות בעמ-מינה טומיי</t>
  </si>
  <si>
    <t>אושיבה בעמ (מינה טומי יהוד)</t>
  </si>
  <si>
    <t>אטפה בע"מ (קינג קונג רעננה)</t>
  </si>
  <si>
    <t>מינה טומיי עין שמר בע"מ</t>
  </si>
  <si>
    <t>מינה שרונה בע"מ</t>
  </si>
  <si>
    <t>קינג געתון בעמ</t>
  </si>
  <si>
    <t>קינג כרמיאל בעמ (קינג קונג כרמיאל)</t>
  </si>
  <si>
    <t>קינג קונג ביג בע"מ</t>
  </si>
  <si>
    <t>קינג קונג חדרה בעמ</t>
  </si>
  <si>
    <t>קינג קונג חורב בעמ</t>
  </si>
  <si>
    <t>קסטרא טומאיי בעמ/(מינה טומיי) מינה טומאיי</t>
  </si>
  <si>
    <t>Total</t>
  </si>
  <si>
    <t>עמלה</t>
  </si>
  <si>
    <t>סה"כ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</si>
</sst>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6">
    <xf numFmtId="0" fontId="0" fillId="0" borderId="0" xfId="0"/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3" fontId="0" fillId="4" borderId="6" xfId="0" applyNumberFormat="1" applyFill="1" applyBorder="1"/>
    <xf numFmtId="3" fontId="0" fillId="4" borderId="2" xfId="0" applyNumberFormat="1" applyFill="1" applyBorder="1"/>
    <xf numFmtId="3" fontId="0" fillId="4" borderId="4" xfId="0" applyNumberFormat="1" applyFill="1" applyBorder="1"/>
    <xf numFmtId="3" fontId="0" fillId="5" borderId="5" xfId="0" applyNumberFormat="1" applyFill="1" applyBorder="1"/>
    <xf numFmtId="3" fontId="0" fillId="5" borderId="1" xfId="0" applyNumberFormat="1" applyFill="1" applyBorder="1"/>
    <xf numFmtId="3" fontId="0" fillId="5" borderId="3" xfId="0" applyNumberFormat="1" applyFill="1" applyBorder="1"/>
    <xf numFmtId="0" fontId="0" fillId="5" borderId="3" xfId="0" applyFill="1" applyBorder="1"/>
    <xf numFmtId="0" fontId="0" fillId="5" borderId="1" xfId="0" applyFill="1" applyBorder="1"/>
    <xf numFmtId="0" fontId="0" fillId="5" borderId="5" xfId="0" applyFill="1" applyBorder="1"/>
    <xf numFmtId="0" fontId="0" fillId="2" borderId="1" xfId="0" applyFill="1" applyBorder="1"/>
    <xf numFmtId="3" fontId="0" fillId="2" borderId="1" xfId="0" applyNumberFormat="1" applyFill="1" applyBorder="1"/>
    <xf numFmtId="0" fontId="0" fillId="6" borderId="1" xfId="0" applyFill="1" applyBorder="1"/>
    <xf numFmtId="43" fontId="0" fillId="6" borderId="1" xfId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rightToLeft="1" tabSelected="1" workbookViewId="0">
      <selection activeCell="F17" sqref="F17"/>
    </sheetView>
  </sheetViews>
  <sheetFormatPr defaultRowHeight="13.8" x14ac:dyDescent="0.25"/>
  <cols>
    <col min="1" max="1" width="32.69921875" customWidth="1"/>
    <col min="2" max="2" width="9.765625E-2" customWidth="1"/>
    <col min="3" max="3" width="7.59765625" bestFit="1" customWidth="1"/>
    <col min="4" max="4" width="9.59765625" bestFit="1" customWidth="1"/>
    <col min="5" max="5" width="9.3984375" bestFit="1" customWidth="1"/>
    <col min="6" max="6" width="14.69921875" customWidth="1"/>
    <col min="7" max="7" width="13.796875" bestFit="1" customWidth="1"/>
    <col min="8" max="9" width="23" bestFit="1" customWidth="1"/>
  </cols>
  <sheetData>
    <row r="1" spans="1:6" ht="14.4" thickBot="1" x14ac:dyDescent="0.3">
      <c r="A1" s="1" t="s">
        <v>0</v>
      </c>
      <c r="B1" s="1"/>
      <c r="C1" s="1" t="s">
        <v>1</v>
      </c>
      <c r="D1" s="1" t="s">
        <v>2</v>
      </c>
      <c r="E1" s="1" t="s">
        <v>3</v>
      </c>
      <c r="F1" s="2" t="s">
        <v>15</v>
      </c>
    </row>
    <row r="2" spans="1:6" x14ac:dyDescent="0.25">
      <c r="A2" s="11" t="s">
        <v>4</v>
      </c>
      <c r="B2" s="11"/>
      <c r="C2" s="6">
        <v>14963.45</v>
      </c>
      <c r="D2" s="6">
        <v>15783.400000000011</v>
      </c>
      <c r="E2" s="6">
        <v>18432</v>
      </c>
      <c r="F2" s="3">
        <f t="shared" ref="F2:F12" si="0">SUM(C2:E2)</f>
        <v>49178.850000000013</v>
      </c>
    </row>
    <row r="3" spans="1:6" x14ac:dyDescent="0.25">
      <c r="A3" s="10" t="s">
        <v>5</v>
      </c>
      <c r="B3" s="10"/>
      <c r="C3" s="7">
        <v>13876</v>
      </c>
      <c r="D3" s="7">
        <v>13520.32</v>
      </c>
      <c r="E3" s="7">
        <v>19577</v>
      </c>
      <c r="F3" s="4">
        <f t="shared" si="0"/>
        <v>46973.32</v>
      </c>
    </row>
    <row r="4" spans="1:6" x14ac:dyDescent="0.25">
      <c r="A4" s="10" t="s">
        <v>6</v>
      </c>
      <c r="B4" s="10"/>
      <c r="C4" s="7">
        <v>20032.13</v>
      </c>
      <c r="D4" s="7">
        <v>22132</v>
      </c>
      <c r="E4" s="7">
        <v>22787</v>
      </c>
      <c r="F4" s="4">
        <f t="shared" si="0"/>
        <v>64951.130000000005</v>
      </c>
    </row>
    <row r="5" spans="1:6" x14ac:dyDescent="0.25">
      <c r="A5" s="10" t="s">
        <v>7</v>
      </c>
      <c r="B5" s="10"/>
      <c r="C5" s="7">
        <v>8067.63</v>
      </c>
      <c r="D5" s="7">
        <v>19021</v>
      </c>
      <c r="E5" s="7">
        <v>21865</v>
      </c>
      <c r="F5" s="4">
        <f t="shared" si="0"/>
        <v>48953.630000000005</v>
      </c>
    </row>
    <row r="6" spans="1:6" x14ac:dyDescent="0.25">
      <c r="A6" s="10" t="s">
        <v>8</v>
      </c>
      <c r="B6" s="10"/>
      <c r="C6" s="7">
        <v>10980.02</v>
      </c>
      <c r="D6" s="7">
        <v>15887</v>
      </c>
      <c r="E6" s="7">
        <v>16987</v>
      </c>
      <c r="F6" s="4">
        <f t="shared" si="0"/>
        <v>43854.020000000004</v>
      </c>
    </row>
    <row r="7" spans="1:6" x14ac:dyDescent="0.25">
      <c r="A7" s="10" t="s">
        <v>9</v>
      </c>
      <c r="B7" s="10"/>
      <c r="C7" s="7">
        <v>17180.200000000012</v>
      </c>
      <c r="D7" s="7">
        <v>26762.290000000019</v>
      </c>
      <c r="E7" s="7">
        <v>20769.520000000011</v>
      </c>
      <c r="F7" s="4">
        <f t="shared" si="0"/>
        <v>64712.010000000046</v>
      </c>
    </row>
    <row r="8" spans="1:6" x14ac:dyDescent="0.25">
      <c r="A8" s="10" t="s">
        <v>10</v>
      </c>
      <c r="B8" s="10"/>
      <c r="C8" s="7">
        <v>10824.12</v>
      </c>
      <c r="D8" s="7">
        <v>11422</v>
      </c>
      <c r="E8" s="7">
        <v>14121</v>
      </c>
      <c r="F8" s="4">
        <f t="shared" si="0"/>
        <v>36367.120000000003</v>
      </c>
    </row>
    <row r="9" spans="1:6" x14ac:dyDescent="0.25">
      <c r="A9" s="10" t="s">
        <v>11</v>
      </c>
      <c r="B9" s="10"/>
      <c r="C9" s="7">
        <v>27500.739999999991</v>
      </c>
      <c r="D9" s="7">
        <v>24497.23000000001</v>
      </c>
      <c r="E9" s="7">
        <v>28503.59</v>
      </c>
      <c r="F9" s="4">
        <f t="shared" si="0"/>
        <v>80501.56</v>
      </c>
    </row>
    <row r="10" spans="1:6" x14ac:dyDescent="0.25">
      <c r="A10" s="10" t="s">
        <v>12</v>
      </c>
      <c r="B10" s="10"/>
      <c r="C10" s="7">
        <v>3805.3799999999992</v>
      </c>
      <c r="D10" s="7">
        <v>16921.099999999999</v>
      </c>
      <c r="E10" s="7">
        <v>19827.18</v>
      </c>
      <c r="F10" s="4">
        <f t="shared" si="0"/>
        <v>40553.659999999996</v>
      </c>
    </row>
    <row r="11" spans="1:6" x14ac:dyDescent="0.25">
      <c r="A11" s="10" t="s">
        <v>13</v>
      </c>
      <c r="B11" s="10"/>
      <c r="C11" s="7">
        <v>11996.91</v>
      </c>
      <c r="D11" s="7">
        <v>18604.020000000011</v>
      </c>
      <c r="E11" s="7">
        <v>22688.02</v>
      </c>
      <c r="F11" s="4">
        <f t="shared" si="0"/>
        <v>53288.950000000012</v>
      </c>
    </row>
    <row r="12" spans="1:6" ht="14.4" thickBot="1" x14ac:dyDescent="0.3">
      <c r="A12" s="9" t="s">
        <v>14</v>
      </c>
      <c r="B12" s="9"/>
      <c r="C12" s="8">
        <v>31097.750000000011</v>
      </c>
      <c r="D12" s="8">
        <v>36756.819999999963</v>
      </c>
      <c r="E12" s="8">
        <v>40002.899999999987</v>
      </c>
      <c r="F12" s="5">
        <f t="shared" si="0"/>
        <v>107857.46999999997</v>
      </c>
    </row>
    <row r="14" spans="1:6" x14ac:dyDescent="0.25">
      <c r="E14" s="12" t="s">
        <v>17</v>
      </c>
      <c r="F14" s="13">
        <f>SUM(F2:F13)</f>
        <v>637191.72</v>
      </c>
    </row>
    <row r="15" spans="1:6" x14ac:dyDescent="0.25">
      <c r="E15" s="14" t="s">
        <v>16</v>
      </c>
      <c r="F15" s="15">
        <f>F14*0.17</f>
        <v>108322.59240000001</v>
      </c>
    </row>
  </sheetData>
  <mergeCells count="11">
    <mergeCell ref="A2:B2"/>
    <mergeCell ref="A3:B3"/>
    <mergeCell ref="A4:B4"/>
    <mergeCell ref="A5:B5"/>
    <mergeCell ref="A6:B6"/>
    <mergeCell ref="A12:B12"/>
    <mergeCell ref="A7:B7"/>
    <mergeCell ref="A8:B8"/>
    <mergeCell ref="A9:B9"/>
    <mergeCell ref="A10:B10"/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Eldar Mualem</dc:creator>
  <cp:lastModifiedBy>Or Ben Hamu</cp:lastModifiedBy>
  <dcterms:created xsi:type="dcterms:W3CDTF">2026-01-01T12:03:43Z</dcterms:created>
  <dcterms:modified xsi:type="dcterms:W3CDTF">2026-01-12T14:27:15Z</dcterms:modified>
</cp:coreProperties>
</file>