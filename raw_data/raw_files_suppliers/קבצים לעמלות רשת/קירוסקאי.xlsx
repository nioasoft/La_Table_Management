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yat\Downloads\"/>
    </mc:Choice>
  </mc:AlternateContent>
  <xr:revisionPtr revIDLastSave="0" documentId="8_{E74C6E4E-4DCE-4DD8-8885-2A7E3620575F}" xr6:coauthVersionLast="47" xr6:coauthVersionMax="47" xr10:uidLastSave="{00000000-0000-0000-0000-000000000000}"/>
  <bookViews>
    <workbookView xWindow="-120" yWindow="-120" windowWidth="38640" windowHeight="21120" xr2:uid="{2E319361-D60C-4E57-BEA8-109129AD3376}"/>
  </bookViews>
  <sheets>
    <sheet name="גיליון1" sheetId="1" r:id="rId1"/>
  </sheets>
  <definedNames>
    <definedName name="_xlnm._FilterDatabase" localSheetId="0" hidden="1">גיליון1!$M$4:$U$22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</calcChain>
</file>

<file path=xl/sharedStrings.xml><?xml version="1.0" encoding="utf-8"?>
<sst xmlns="http://schemas.openxmlformats.org/spreadsheetml/2006/main" count="29" uniqueCount="28">
  <si>
    <t>אוג-25</t>
  </si>
  <si>
    <t>אוק-25</t>
  </si>
  <si>
    <t>דצמ-25</t>
  </si>
  <si>
    <t>יול-25</t>
  </si>
  <si>
    <t>נוב-25</t>
  </si>
  <si>
    <t>ספט-25</t>
  </si>
  <si>
    <t>סכום כולל</t>
  </si>
  <si>
    <t>אודון ניהול ואחזקות בע"מ</t>
  </si>
  <si>
    <t>אושיבה בע"מ</t>
  </si>
  <si>
    <t>אטפה בע"מ (קינג קונג רעננה)</t>
  </si>
  <si>
    <t>דארת בע"מ-פאט ויני חדרה</t>
  </si>
  <si>
    <t>ויני כרמיאל  בע"מ</t>
  </si>
  <si>
    <t>ויני רגבה בע"מ</t>
  </si>
  <si>
    <t>טמפר הסעדה בע"מ</t>
  </si>
  <si>
    <t>מיאמוטו בע"מ</t>
  </si>
  <si>
    <t>מינה טומי עין שמר</t>
  </si>
  <si>
    <t>מינה שרונה בע"מ</t>
  </si>
  <si>
    <t>סידיוס בע"מ</t>
  </si>
  <si>
    <t>פט ויני עזריאלי</t>
  </si>
  <si>
    <t>קינג געתון בע"מ</t>
  </si>
  <si>
    <t>קינג כרמיאל בע"מ</t>
  </si>
  <si>
    <t>קינג קונג ביג בע"מ</t>
  </si>
  <si>
    <t>קינג קונג חדרה בע"מ</t>
  </si>
  <si>
    <t>קינג קונג חורב בע"מ</t>
  </si>
  <si>
    <t>קסטרא טומאיי בע"מ</t>
  </si>
  <si>
    <t>שם הלקוח</t>
  </si>
  <si>
    <t>מס' לקוח</t>
  </si>
  <si>
    <t>עמלה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</si>
</sst>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name val="Arial"/>
    </font>
    <font>
      <sz val="11"/>
      <color theme="1"/>
      <name val="Arial"/>
      <family val="2"/>
      <charset val="177"/>
      <scheme val="minor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1" applyNumberFormat="1" applyFont="1"/>
    <xf numFmtId="0" fontId="2" fillId="0" borderId="0" xfId="0" applyFont="1"/>
    <xf numFmtId="164" fontId="2" fillId="0" borderId="0" xfId="1" applyNumberFormat="1" applyFont="1"/>
    <xf numFmtId="164" fontId="0" fillId="0" borderId="0" xfId="0" applyNumberFormat="1"/>
    <xf numFmtId="9" fontId="0" fillId="0" borderId="0" xfId="0" applyNumberFormat="1"/>
  </cellXfs>
  <cellStyles count="2">
    <cellStyle name="Comma" xfId="1" builtinId="3"/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8E6159-20F5-41DB-8623-C8BD080031A8}" name="טבלה1" displayName="טבלה1" ref="B4:J23" totalsRowShown="0" dataDxfId="8" dataCellStyle="Comma">
  <tableColumns count="9">
    <tableColumn id="1" xr3:uid="{C657CC72-3497-446D-98D3-96015CB340F0}" name="שם הלקוח"/>
    <tableColumn id="5" xr3:uid="{F6D58533-BF29-417A-8365-F5F2539D7ABD}" name="יול-25" dataDxfId="7" dataCellStyle="Comma"/>
    <tableColumn id="2" xr3:uid="{FCEA2ADE-FB79-4B5B-82D2-E231E6EC1ADE}" name="אוג-25" dataDxfId="6" dataCellStyle="Comma"/>
    <tableColumn id="7" xr3:uid="{02973907-6571-4EE2-841D-C4C4B6D993BF}" name="ספט-25" dataDxfId="5" dataCellStyle="Comma"/>
    <tableColumn id="3" xr3:uid="{621C169F-3627-41FB-A4C9-587968666D46}" name="אוק-25" dataDxfId="4" dataCellStyle="Comma"/>
    <tableColumn id="6" xr3:uid="{6ED2A01C-10AE-46E3-A95E-7AB2D95DC1D1}" name="נוב-25" dataDxfId="3" dataCellStyle="Comma"/>
    <tableColumn id="4" xr3:uid="{E3BE1674-E982-405D-959B-A4963B9C263B}" name="דצמ-25" dataDxfId="2" dataCellStyle="Comma"/>
    <tableColumn id="8" xr3:uid="{0F6A43CA-5889-4788-A3EA-7E58059F0BC5}" name="סכום כולל" dataDxfId="1" dataCellStyle="Comma"/>
    <tableColumn id="9" xr3:uid="{80660C87-F16F-4711-B59C-044D7C42B68B}" name="עמלה" dataDxfId="0" dataCellStyle="Comma">
      <calculatedColumnFormula>טבלה1[[#This Row],[סכום כולל]]*$J$3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A66A7-D8D2-4F70-994F-E3C16D241639}">
  <dimension ref="A3:U23"/>
  <sheetViews>
    <sheetView rightToLeft="1" tabSelected="1" workbookViewId="0">
      <selection activeCell="J8" sqref="J8"/>
    </sheetView>
  </sheetViews>
  <sheetFormatPr defaultRowHeight="14.25" x14ac:dyDescent="0.2"/>
  <cols>
    <col min="1" max="1" width="9.875" bestFit="1" customWidth="1"/>
    <col min="2" max="2" width="22.375" bestFit="1" customWidth="1"/>
    <col min="3" max="3" width="9.875" bestFit="1" customWidth="1"/>
    <col min="4" max="4" width="12.75" bestFit="1" customWidth="1"/>
    <col min="5" max="6" width="9.875" bestFit="1" customWidth="1"/>
    <col min="8" max="8" width="9.875" bestFit="1" customWidth="1"/>
    <col min="13" max="13" width="9.875" bestFit="1" customWidth="1"/>
    <col min="14" max="14" width="10.875" bestFit="1" customWidth="1"/>
  </cols>
  <sheetData>
    <row r="3" spans="1:21" x14ac:dyDescent="0.2">
      <c r="F3">
        <v>10</v>
      </c>
      <c r="G3">
        <v>11</v>
      </c>
      <c r="H3">
        <v>12</v>
      </c>
      <c r="J3" s="5">
        <v>0.05</v>
      </c>
    </row>
    <row r="4" spans="1:21" x14ac:dyDescent="0.2">
      <c r="A4" t="s">
        <v>26</v>
      </c>
      <c r="B4" t="s">
        <v>25</v>
      </c>
      <c r="C4" t="s">
        <v>3</v>
      </c>
      <c r="D4" t="s">
        <v>0</v>
      </c>
      <c r="E4" t="s">
        <v>5</v>
      </c>
      <c r="F4" t="s">
        <v>1</v>
      </c>
      <c r="G4" t="s">
        <v>4</v>
      </c>
      <c r="H4" t="s">
        <v>2</v>
      </c>
      <c r="I4" t="s">
        <v>6</v>
      </c>
      <c r="J4" t="s">
        <v>27</v>
      </c>
    </row>
    <row r="5" spans="1:21" x14ac:dyDescent="0.2">
      <c r="A5">
        <v>701333</v>
      </c>
      <c r="B5" t="s">
        <v>7</v>
      </c>
      <c r="C5" s="1">
        <v>3541.53</v>
      </c>
      <c r="D5" s="1">
        <v>2522.88</v>
      </c>
      <c r="E5" s="1">
        <v>2294.0700000000002</v>
      </c>
      <c r="F5" s="1">
        <v>2522.04</v>
      </c>
      <c r="G5" s="1">
        <v>2750.85</v>
      </c>
      <c r="H5" s="1">
        <v>2917.8</v>
      </c>
      <c r="I5" s="1">
        <v>16549.170000000002</v>
      </c>
      <c r="J5" s="1">
        <f>טבלה1[[#This Row],[סכום כולל]]*$J$3</f>
        <v>827.45850000000019</v>
      </c>
      <c r="K5" s="1"/>
      <c r="L5" s="1"/>
      <c r="M5" s="1"/>
      <c r="N5" s="1"/>
      <c r="O5" s="1"/>
      <c r="P5" s="4"/>
      <c r="Q5" s="4"/>
      <c r="R5" s="4"/>
      <c r="S5" s="4"/>
      <c r="T5" s="4"/>
      <c r="U5" s="4"/>
    </row>
    <row r="6" spans="1:21" x14ac:dyDescent="0.2">
      <c r="A6">
        <v>705505</v>
      </c>
      <c r="B6" t="s">
        <v>8</v>
      </c>
      <c r="C6" s="1">
        <v>4187.29</v>
      </c>
      <c r="D6" s="1">
        <v>1629.66</v>
      </c>
      <c r="E6" s="1">
        <v>3681.3500000000004</v>
      </c>
      <c r="F6" s="1">
        <v>2315.25</v>
      </c>
      <c r="G6" s="1">
        <v>1629.66</v>
      </c>
      <c r="H6" s="1">
        <v>491.5300000000002</v>
      </c>
      <c r="I6" s="1">
        <v>13934.74</v>
      </c>
      <c r="J6" s="1">
        <f>טבלה1[[#This Row],[סכום כולל]]*$J$3</f>
        <v>696.73700000000008</v>
      </c>
      <c r="K6" s="1"/>
      <c r="L6" s="1"/>
      <c r="M6" s="1"/>
      <c r="N6" s="1"/>
      <c r="O6" s="1"/>
      <c r="P6" s="4"/>
      <c r="Q6" s="4"/>
      <c r="R6" s="4"/>
      <c r="S6" s="4"/>
      <c r="T6" s="4"/>
      <c r="U6" s="4"/>
    </row>
    <row r="7" spans="1:21" x14ac:dyDescent="0.2">
      <c r="A7">
        <v>704717</v>
      </c>
      <c r="B7" t="s">
        <v>9</v>
      </c>
      <c r="C7" s="1">
        <v>1722.88</v>
      </c>
      <c r="D7" s="1">
        <v>1661.8600000000001</v>
      </c>
      <c r="E7" s="1">
        <v>3834.75</v>
      </c>
      <c r="F7" s="1">
        <v>1494.0700000000002</v>
      </c>
      <c r="G7" s="1">
        <v>870.34</v>
      </c>
      <c r="H7" s="1">
        <v>-2094.0699999999997</v>
      </c>
      <c r="I7" s="1">
        <v>7489.8300000000008</v>
      </c>
      <c r="J7" s="1">
        <f>טבלה1[[#This Row],[סכום כולל]]*$J$3</f>
        <v>374.49150000000009</v>
      </c>
      <c r="K7" s="1"/>
      <c r="L7" s="1"/>
      <c r="M7" s="1"/>
      <c r="N7" s="1"/>
      <c r="O7" s="1"/>
      <c r="P7" s="4"/>
      <c r="Q7" s="4"/>
      <c r="R7" s="4"/>
      <c r="S7" s="4"/>
      <c r="T7" s="4"/>
      <c r="U7" s="4"/>
    </row>
    <row r="8" spans="1:21" x14ac:dyDescent="0.2">
      <c r="A8">
        <v>703324</v>
      </c>
      <c r="B8" t="s">
        <v>10</v>
      </c>
      <c r="C8" s="1">
        <v>-870.34</v>
      </c>
      <c r="D8" s="1"/>
      <c r="E8" s="1"/>
      <c r="F8" s="1"/>
      <c r="G8" s="1"/>
      <c r="H8" s="1"/>
      <c r="I8" s="1">
        <v>-870.34</v>
      </c>
      <c r="J8" s="1">
        <f>טבלה1[[#This Row],[סכום כולל]]*$J$3</f>
        <v>-43.517000000000003</v>
      </c>
      <c r="K8" s="1"/>
      <c r="L8" s="1"/>
      <c r="M8" s="1"/>
      <c r="N8" s="1"/>
      <c r="O8" s="1"/>
      <c r="P8" s="4"/>
      <c r="Q8" s="4"/>
      <c r="R8" s="4"/>
      <c r="S8" s="4"/>
      <c r="T8" s="4"/>
      <c r="U8" s="4"/>
    </row>
    <row r="9" spans="1:21" x14ac:dyDescent="0.2">
      <c r="A9">
        <v>701502</v>
      </c>
      <c r="B9" t="s">
        <v>11</v>
      </c>
      <c r="C9" s="1">
        <v>1892.38</v>
      </c>
      <c r="D9" s="1">
        <v>1381.3600000000001</v>
      </c>
      <c r="E9" s="1">
        <v>3930.51</v>
      </c>
      <c r="F9" s="1">
        <v>2032.21</v>
      </c>
      <c r="G9" s="1">
        <v>1892.38</v>
      </c>
      <c r="H9" s="1">
        <v>-376.26999999999992</v>
      </c>
      <c r="I9" s="1">
        <v>10752.57</v>
      </c>
      <c r="J9" s="1">
        <f>טבלה1[[#This Row],[סכום כולל]]*$J$3</f>
        <v>537.62850000000003</v>
      </c>
      <c r="K9" s="1"/>
      <c r="L9" s="1"/>
      <c r="M9" s="1"/>
      <c r="N9" s="1"/>
      <c r="O9" s="1"/>
      <c r="P9" s="4"/>
      <c r="Q9" s="4"/>
      <c r="R9" s="4"/>
      <c r="S9" s="4"/>
      <c r="T9" s="4"/>
      <c r="U9" s="4"/>
    </row>
    <row r="10" spans="1:21" x14ac:dyDescent="0.2">
      <c r="A10">
        <v>703784</v>
      </c>
      <c r="B10" t="s">
        <v>12</v>
      </c>
      <c r="C10" s="1">
        <v>1950.85</v>
      </c>
      <c r="D10" s="1">
        <v>3199.15</v>
      </c>
      <c r="E10" s="1">
        <v>3606.7799999999997</v>
      </c>
      <c r="F10" s="1">
        <v>1950.85</v>
      </c>
      <c r="G10" s="1">
        <v>3366.96</v>
      </c>
      <c r="H10" s="1">
        <v>-723.72999999999979</v>
      </c>
      <c r="I10" s="1">
        <v>13350.86</v>
      </c>
      <c r="J10" s="1">
        <f>טבלה1[[#This Row],[סכום כולל]]*$J$3</f>
        <v>667.54300000000012</v>
      </c>
      <c r="K10" s="1"/>
      <c r="L10" s="1"/>
      <c r="M10" s="1"/>
      <c r="N10" s="1"/>
      <c r="O10" s="1"/>
      <c r="P10" s="4"/>
      <c r="Q10" s="4"/>
      <c r="R10" s="4"/>
      <c r="S10" s="4"/>
      <c r="T10" s="4"/>
      <c r="U10" s="4"/>
    </row>
    <row r="11" spans="1:21" x14ac:dyDescent="0.2">
      <c r="A11">
        <v>705486</v>
      </c>
      <c r="B11" t="s">
        <v>13</v>
      </c>
      <c r="C11" s="1">
        <v>3501.6899999999996</v>
      </c>
      <c r="D11" s="1">
        <v>3334.75</v>
      </c>
      <c r="E11" s="1">
        <v>2543.2200000000003</v>
      </c>
      <c r="F11" s="1">
        <v>2163.56</v>
      </c>
      <c r="G11" s="1">
        <v>2955.09</v>
      </c>
      <c r="H11" s="1">
        <v>2726.27</v>
      </c>
      <c r="I11" s="1">
        <v>17224.580000000002</v>
      </c>
      <c r="J11" s="1">
        <f>טבלה1[[#This Row],[סכום כולל]]*$J$3</f>
        <v>861.22900000000016</v>
      </c>
      <c r="K11" s="1"/>
      <c r="L11" s="1"/>
      <c r="M11" s="1"/>
      <c r="N11" s="1"/>
      <c r="O11" s="1"/>
      <c r="P11" s="4"/>
      <c r="Q11" s="4"/>
      <c r="R11" s="4"/>
      <c r="S11" s="4"/>
      <c r="T11" s="4"/>
      <c r="U11" s="4"/>
    </row>
    <row r="12" spans="1:21" x14ac:dyDescent="0.2">
      <c r="A12">
        <v>701460</v>
      </c>
      <c r="B12" t="s">
        <v>14</v>
      </c>
      <c r="C12" s="1">
        <v>3427.1200000000003</v>
      </c>
      <c r="D12" s="1">
        <v>1327.12</v>
      </c>
      <c r="E12" s="1">
        <v>2468.64</v>
      </c>
      <c r="F12" s="1">
        <v>3990.67</v>
      </c>
      <c r="G12" s="1">
        <v>2012.71</v>
      </c>
      <c r="H12" s="1">
        <v>871.19</v>
      </c>
      <c r="I12" s="1">
        <v>14097.45</v>
      </c>
      <c r="J12" s="1">
        <f>טבלה1[[#This Row],[סכום כולל]]*$J$3</f>
        <v>704.87250000000006</v>
      </c>
      <c r="K12" s="1"/>
      <c r="L12" s="1"/>
      <c r="M12" s="1"/>
      <c r="N12" s="1"/>
      <c r="O12" s="1"/>
      <c r="P12" s="4"/>
      <c r="Q12" s="4"/>
      <c r="R12" s="4"/>
      <c r="S12" s="4"/>
      <c r="T12" s="4"/>
      <c r="U12" s="4"/>
    </row>
    <row r="13" spans="1:21" x14ac:dyDescent="0.2">
      <c r="A13">
        <v>703376</v>
      </c>
      <c r="B13" t="s">
        <v>15</v>
      </c>
      <c r="C13" s="1">
        <v>5108.46</v>
      </c>
      <c r="D13" s="1">
        <v>3544.9100000000003</v>
      </c>
      <c r="E13" s="1">
        <v>1525.42</v>
      </c>
      <c r="F13" s="1">
        <v>1525.42</v>
      </c>
      <c r="G13" s="1">
        <v>1525.42</v>
      </c>
      <c r="H13" s="1">
        <v>2859.32</v>
      </c>
      <c r="I13" s="1">
        <v>16088.95</v>
      </c>
      <c r="J13" s="1">
        <f>טבלה1[[#This Row],[סכום כולל]]*$J$3</f>
        <v>804.4475000000001</v>
      </c>
      <c r="K13" s="1"/>
      <c r="L13" s="1"/>
      <c r="M13" s="1"/>
      <c r="N13" s="1"/>
      <c r="O13" s="1"/>
      <c r="P13" s="4"/>
      <c r="Q13" s="4"/>
      <c r="R13" s="4"/>
      <c r="S13" s="4"/>
      <c r="T13" s="4"/>
      <c r="U13" s="4"/>
    </row>
    <row r="14" spans="1:21" x14ac:dyDescent="0.2">
      <c r="A14">
        <v>706697</v>
      </c>
      <c r="B14" t="s">
        <v>16</v>
      </c>
      <c r="C14" s="1">
        <v>2638.99</v>
      </c>
      <c r="D14" s="1">
        <v>1785.6</v>
      </c>
      <c r="E14" s="1">
        <v>2806.79</v>
      </c>
      <c r="F14" s="1">
        <v>1785.6</v>
      </c>
      <c r="G14" s="1">
        <v>3034.75</v>
      </c>
      <c r="H14" s="1">
        <v>1494.0700000000002</v>
      </c>
      <c r="I14" s="1">
        <v>13545.8</v>
      </c>
      <c r="J14" s="1">
        <f>טבלה1[[#This Row],[סכום כולל]]*$J$3</f>
        <v>677.29</v>
      </c>
      <c r="K14" s="1"/>
      <c r="L14" s="1"/>
      <c r="M14" s="1"/>
      <c r="N14" s="1"/>
      <c r="O14" s="1"/>
      <c r="P14" s="4"/>
      <c r="Q14" s="4"/>
      <c r="R14" s="4"/>
      <c r="S14" s="4"/>
      <c r="T14" s="4"/>
      <c r="U14" s="4"/>
    </row>
    <row r="15" spans="1:21" x14ac:dyDescent="0.2">
      <c r="A15">
        <v>703318</v>
      </c>
      <c r="B15" t="s">
        <v>17</v>
      </c>
      <c r="C15" s="1">
        <v>3378.8099999999995</v>
      </c>
      <c r="D15" s="1">
        <v>3149.9999999999995</v>
      </c>
      <c r="E15" s="1">
        <v>3606.7799999999997</v>
      </c>
      <c r="F15" s="1">
        <v>4064.3999999999996</v>
      </c>
      <c r="G15" s="1">
        <v>2179.66</v>
      </c>
      <c r="H15" s="1">
        <v>3260.17</v>
      </c>
      <c r="I15" s="1">
        <v>19639.82</v>
      </c>
      <c r="J15" s="1">
        <f>טבלה1[[#This Row],[סכום כולל]]*$J$3</f>
        <v>981.99099999999999</v>
      </c>
      <c r="K15" s="1"/>
      <c r="L15" s="1"/>
      <c r="M15" s="1"/>
      <c r="N15" s="1"/>
      <c r="O15" s="1"/>
      <c r="P15" s="4"/>
      <c r="Q15" s="4"/>
      <c r="R15" s="4"/>
      <c r="S15" s="4"/>
      <c r="T15" s="4"/>
      <c r="U15" s="4"/>
    </row>
    <row r="16" spans="1:21" x14ac:dyDescent="0.2">
      <c r="A16">
        <v>701481</v>
      </c>
      <c r="B16" t="s">
        <v>18</v>
      </c>
      <c r="C16" s="1">
        <v>1629.66</v>
      </c>
      <c r="D16" s="1">
        <v>2938.9800000000005</v>
      </c>
      <c r="E16" s="1">
        <v>4762.71</v>
      </c>
      <c r="F16" s="1">
        <v>2315.25</v>
      </c>
      <c r="G16" s="1">
        <v>1629.66</v>
      </c>
      <c r="H16" s="1">
        <v>719.49000000000012</v>
      </c>
      <c r="I16" s="1">
        <v>13995.75</v>
      </c>
      <c r="J16" s="1">
        <f>טבלה1[[#This Row],[סכום כולל]]*$J$3</f>
        <v>699.78750000000002</v>
      </c>
      <c r="K16" s="1"/>
      <c r="L16" s="1"/>
      <c r="M16" s="1"/>
      <c r="N16" s="1"/>
      <c r="O16" s="1"/>
      <c r="P16" s="4"/>
      <c r="Q16" s="4"/>
      <c r="R16" s="4"/>
      <c r="S16" s="4"/>
      <c r="T16" s="4"/>
      <c r="U16" s="4"/>
    </row>
    <row r="17" spans="1:21" x14ac:dyDescent="0.2">
      <c r="A17">
        <v>701000015</v>
      </c>
      <c r="B17" t="s">
        <v>19</v>
      </c>
      <c r="C17" s="1">
        <v>2179.66</v>
      </c>
      <c r="D17" s="1">
        <v>2179.66</v>
      </c>
      <c r="E17" s="1">
        <v>2935.59</v>
      </c>
      <c r="F17" s="1">
        <v>870.34</v>
      </c>
      <c r="G17" s="1">
        <v>1783.9</v>
      </c>
      <c r="H17" s="1">
        <v>799.16</v>
      </c>
      <c r="I17" s="1">
        <v>10748.31</v>
      </c>
      <c r="J17" s="1">
        <f>טבלה1[[#This Row],[סכום כולל]]*$J$3</f>
        <v>537.41549999999995</v>
      </c>
      <c r="K17" s="1"/>
      <c r="L17" s="1"/>
      <c r="M17" s="1"/>
      <c r="N17" s="1"/>
      <c r="O17" s="1"/>
      <c r="P17" s="4"/>
      <c r="Q17" s="4"/>
      <c r="R17" s="4"/>
      <c r="S17" s="4"/>
      <c r="T17" s="4"/>
      <c r="U17" s="4"/>
    </row>
    <row r="18" spans="1:21" x14ac:dyDescent="0.2">
      <c r="A18">
        <v>701523</v>
      </c>
      <c r="B18" t="s">
        <v>20</v>
      </c>
      <c r="C18" s="1">
        <v>1860.17</v>
      </c>
      <c r="D18" s="1">
        <v>2255.9299999999998</v>
      </c>
      <c r="E18" s="1">
        <v>3349.1499999999996</v>
      </c>
      <c r="F18" s="1">
        <v>1236.44</v>
      </c>
      <c r="G18" s="1">
        <v>2088.9799999999996</v>
      </c>
      <c r="H18" s="1">
        <v>2016.1</v>
      </c>
      <c r="I18" s="1">
        <v>12806.769999999999</v>
      </c>
      <c r="J18" s="1">
        <f>טבלה1[[#This Row],[סכום כולל]]*$J$3</f>
        <v>640.33849999999995</v>
      </c>
      <c r="K18" s="1"/>
      <c r="L18" s="1"/>
      <c r="M18" s="1"/>
      <c r="N18" s="1"/>
      <c r="O18" s="1"/>
      <c r="P18" s="4"/>
      <c r="Q18" s="4"/>
      <c r="R18" s="4"/>
      <c r="S18" s="4"/>
      <c r="T18" s="4"/>
      <c r="U18" s="4"/>
    </row>
    <row r="19" spans="1:21" x14ac:dyDescent="0.2">
      <c r="A19">
        <v>701493</v>
      </c>
      <c r="B19" t="s">
        <v>21</v>
      </c>
      <c r="C19" s="1">
        <v>2774.57</v>
      </c>
      <c r="D19" s="1">
        <v>2255.9299999999998</v>
      </c>
      <c r="E19" s="1">
        <v>3961.02</v>
      </c>
      <c r="F19" s="1">
        <v>2088.98</v>
      </c>
      <c r="G19" s="1">
        <v>3108.48</v>
      </c>
      <c r="H19" s="1">
        <v>2712.71</v>
      </c>
      <c r="I19" s="1">
        <v>16901.689999999999</v>
      </c>
      <c r="J19" s="1">
        <f>טבלה1[[#This Row],[סכום כולל]]*$J$3</f>
        <v>845.08449999999993</v>
      </c>
      <c r="K19" s="1"/>
      <c r="L19" s="1"/>
      <c r="M19" s="1"/>
      <c r="N19" s="1"/>
      <c r="O19" s="1"/>
      <c r="P19" s="4"/>
      <c r="Q19" s="4"/>
      <c r="R19" s="4"/>
      <c r="S19" s="4"/>
      <c r="T19" s="4"/>
      <c r="U19" s="4"/>
    </row>
    <row r="20" spans="1:21" x14ac:dyDescent="0.2">
      <c r="A20">
        <v>701000218</v>
      </c>
      <c r="B20" t="s">
        <v>22</v>
      </c>
      <c r="C20" s="1">
        <v>2484.75</v>
      </c>
      <c r="D20" s="1">
        <v>1693.2199999999998</v>
      </c>
      <c r="E20" s="1">
        <v>2773.73</v>
      </c>
      <c r="F20" s="1">
        <v>1236.44</v>
      </c>
      <c r="G20" s="1">
        <v>2088.9799999999996</v>
      </c>
      <c r="H20" s="1">
        <v>2713.5499999999997</v>
      </c>
      <c r="I20" s="1">
        <v>12990.669999999998</v>
      </c>
      <c r="J20" s="1">
        <f>טבלה1[[#This Row],[סכום כולל]]*$J$3</f>
        <v>649.5335</v>
      </c>
      <c r="K20" s="1"/>
      <c r="L20" s="1"/>
      <c r="M20" s="1"/>
      <c r="N20" s="1"/>
      <c r="O20" s="1"/>
      <c r="P20" s="4"/>
      <c r="Q20" s="4"/>
      <c r="R20" s="4"/>
      <c r="S20" s="4"/>
      <c r="T20" s="4"/>
      <c r="U20" s="4"/>
    </row>
    <row r="21" spans="1:21" x14ac:dyDescent="0.2">
      <c r="A21">
        <v>703813</v>
      </c>
      <c r="B21" t="s">
        <v>23</v>
      </c>
      <c r="C21" s="1">
        <v>2118.65</v>
      </c>
      <c r="D21" s="1">
        <v>1783.9</v>
      </c>
      <c r="E21" s="1">
        <v>3318.6400000000003</v>
      </c>
      <c r="F21" s="1">
        <v>870.34</v>
      </c>
      <c r="G21" s="1">
        <v>1950.85</v>
      </c>
      <c r="H21" s="1">
        <v>522.8900000000001</v>
      </c>
      <c r="I21" s="1">
        <v>10565.27</v>
      </c>
      <c r="J21" s="1">
        <f>טבלה1[[#This Row],[סכום כולל]]*$J$3</f>
        <v>528.26350000000002</v>
      </c>
      <c r="K21" s="1"/>
      <c r="L21" s="1"/>
      <c r="M21" s="1"/>
      <c r="N21" s="1"/>
      <c r="O21" s="1"/>
      <c r="P21" s="4"/>
      <c r="Q21" s="4"/>
      <c r="R21" s="4"/>
      <c r="S21" s="4"/>
      <c r="T21" s="4"/>
      <c r="U21" s="4"/>
    </row>
    <row r="22" spans="1:21" x14ac:dyDescent="0.2">
      <c r="A22">
        <v>701300</v>
      </c>
      <c r="B22" t="s">
        <v>24</v>
      </c>
      <c r="C22" s="1">
        <v>3813.5600000000004</v>
      </c>
      <c r="D22" s="1">
        <v>2566.1</v>
      </c>
      <c r="E22" s="1">
        <v>1713.56</v>
      </c>
      <c r="F22" s="1">
        <v>4271.18</v>
      </c>
      <c r="G22" s="1">
        <v>1713.56</v>
      </c>
      <c r="H22" s="1">
        <v>2794.0699999999997</v>
      </c>
      <c r="I22" s="1">
        <v>16872.03</v>
      </c>
      <c r="J22" s="1">
        <f>טבלה1[[#This Row],[סכום כולל]]*$J$3</f>
        <v>843.60149999999999</v>
      </c>
      <c r="K22" s="1"/>
      <c r="L22" s="1"/>
      <c r="M22" s="1"/>
      <c r="N22" s="1"/>
      <c r="O22" s="1"/>
      <c r="P22" s="4"/>
      <c r="Q22" s="4"/>
      <c r="R22" s="4"/>
      <c r="S22" s="4"/>
      <c r="T22" s="4"/>
      <c r="U22" s="4"/>
    </row>
    <row r="23" spans="1:21" ht="15" x14ac:dyDescent="0.25">
      <c r="B23" s="2" t="s">
        <v>6</v>
      </c>
      <c r="C23" s="3">
        <v>47340.679999999993</v>
      </c>
      <c r="D23" s="3">
        <v>39211.009999999995</v>
      </c>
      <c r="E23" s="3">
        <v>53112.71</v>
      </c>
      <c r="F23" s="3">
        <v>36733.039999999994</v>
      </c>
      <c r="G23" s="3">
        <v>36582.230000000003</v>
      </c>
      <c r="H23" s="3">
        <v>23704.25</v>
      </c>
      <c r="I23" s="3">
        <v>236683.91999999998</v>
      </c>
      <c r="J23" s="1">
        <f>טבלה1[[#This Row],[סכום כולל]]*$J$3</f>
        <v>11834.196</v>
      </c>
      <c r="K23" s="3"/>
      <c r="L23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Riki Ben Yossef</dc:creator>
  <cp:lastModifiedBy>Maya Tserlin</cp:lastModifiedBy>
  <dcterms:created xsi:type="dcterms:W3CDTF">2026-01-22T09:40:37Z</dcterms:created>
  <dcterms:modified xsi:type="dcterms:W3CDTF">2026-01-22T11:08:25Z</dcterms:modified>
</cp:coreProperties>
</file>