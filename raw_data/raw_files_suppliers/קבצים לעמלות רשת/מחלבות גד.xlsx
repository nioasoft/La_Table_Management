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lavak\AppData\Local\Microsoft\Windows\INetCache\Content.Outlook\SDFLJIG7\"/>
    </mc:Choice>
  </mc:AlternateContent>
  <xr:revisionPtr revIDLastSave="0" documentId="8_{83B7A82E-C6F7-4FAE-9AA3-105888CB19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49 - 44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1" l="1"/>
  <c r="G44" i="1"/>
  <c r="G40" i="1"/>
  <c r="R54" i="1"/>
  <c r="G54" i="1" l="1"/>
  <c r="G51" i="1"/>
  <c r="G46" i="1"/>
  <c r="R23" i="1"/>
  <c r="M64" i="1"/>
</calcChain>
</file>

<file path=xl/sharedStrings.xml><?xml version="1.0" encoding="utf-8"?>
<sst xmlns="http://schemas.openxmlformats.org/spreadsheetml/2006/main" count="450" uniqueCount="42">
  <si>
    <t>קטגורית לקוח</t>
  </si>
  <si>
    <t>2025</t>
  </si>
  <si>
    <t>*סכום</t>
  </si>
  <si>
    <t>פט ויני</t>
  </si>
  <si>
    <t>ויני רגבה בע"מ</t>
  </si>
  <si>
    <t>פט ויני עזריאלי בע"מ-חיפה</t>
  </si>
  <si>
    <t>פט ויני נתניה-סידיוס בע"מ</t>
  </si>
  <si>
    <t>פט ויני יהוד-טמפר הסעדה בע"מ</t>
  </si>
  <si>
    <t>מיאמוטו בע"מ-פט ויני</t>
  </si>
  <si>
    <t>ויני כרמיאל בע"מ</t>
  </si>
  <si>
    <t>ויני חדרה מול החוף בע"מ</t>
  </si>
  <si>
    <t>פאט ויני חדרה</t>
  </si>
  <si>
    <t>קסטרא טומאיי בע"מ</t>
  </si>
  <si>
    <t>מינה טומי עין שמר בע"מ</t>
  </si>
  <si>
    <t>קינג קונג ביג בע"מ</t>
  </si>
  <si>
    <t>אודון ניהול ואחזקות בע"מ</t>
  </si>
  <si>
    <t>פסטה דון פדרו-פרטי</t>
  </si>
  <si>
    <t>קינג קונג רעננה-אטפה בע"מ</t>
  </si>
  <si>
    <t>מינה שרונה בע"מ</t>
  </si>
  <si>
    <t>אושיבה בע"מ</t>
  </si>
  <si>
    <t>קינג קונג חורב בע"מ</t>
  </si>
  <si>
    <t>קינג כרמיאל בע"מ</t>
  </si>
  <si>
    <t>Grand Total</t>
  </si>
  <si>
    <t xml:space="preserve">קניות רשת 2025 </t>
  </si>
  <si>
    <t>קניות פט ויני מ 1.7.25 עד 31.12.25 ללא ניגרת</t>
  </si>
  <si>
    <t>קבוצות פריט</t>
  </si>
  <si>
    <t>גבינות מיוחדות</t>
  </si>
  <si>
    <t>גבינות קשות</t>
  </si>
  <si>
    <t>גבינות שמנת</t>
  </si>
  <si>
    <t>מוצרלות</t>
  </si>
  <si>
    <t>מסקרפונה</t>
  </si>
  <si>
    <t>ריקוטה</t>
  </si>
  <si>
    <t>תחליפי חלב</t>
  </si>
  <si>
    <t>בולגריות</t>
  </si>
  <si>
    <t>יוגורט/משקאות יוגורט</t>
  </si>
  <si>
    <t xml:space="preserve">קנייות פט ויני ללא ניגרת </t>
  </si>
  <si>
    <t>בונוס 9%</t>
  </si>
  <si>
    <t>קניות ללא ניגרת קינג קונג</t>
  </si>
  <si>
    <t xml:space="preserve">קניות ללא ניגרת מינה טומאי </t>
  </si>
  <si>
    <t xml:space="preserve">קניות  רשת חצי שנתי ללא ניגרת </t>
  </si>
  <si>
    <t xml:space="preserve">קניות רשת כולל ניגרת  חצי שנתי 7-12/2025 </t>
  </si>
  <si>
    <t>קניות רשת  לא כולל ניגרת חצי שנתי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</si>
</sst>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6" x14ac:knownFonts="1">
    <font>
      <sz val="11"/>
      <name val="Calibri"/>
    </font>
    <font>
      <sz val="11"/>
      <color rgb="FFFFFFFF"/>
      <name val="Calibri"/>
    </font>
    <font>
      <b/>
      <sz val="11"/>
      <name val="Calibri"/>
      <family val="2"/>
    </font>
    <font>
      <b/>
      <sz val="14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45FB4"/>
        <bgColor indexed="64"/>
      </patternFill>
    </fill>
    <fill>
      <patternFill patternType="solid">
        <fgColor rgb="FFB0E0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164" fontId="0" fillId="6" borderId="1" xfId="0" applyNumberFormat="1" applyFill="1" applyBorder="1"/>
    <xf numFmtId="0" fontId="2" fillId="7" borderId="1" xfId="0" applyFont="1" applyFill="1" applyBorder="1"/>
    <xf numFmtId="3" fontId="2" fillId="7" borderId="1" xfId="0" applyNumberFormat="1" applyFont="1" applyFill="1" applyBorder="1" applyAlignment="1">
      <alignment vertical="center"/>
    </xf>
    <xf numFmtId="3" fontId="2" fillId="7" borderId="1" xfId="0" applyNumberFormat="1" applyFont="1" applyFill="1" applyBorder="1"/>
    <xf numFmtId="3" fontId="2" fillId="7" borderId="0" xfId="0" applyNumberFormat="1" applyFont="1" applyFill="1"/>
    <xf numFmtId="164" fontId="5" fillId="7" borderId="1" xfId="0" applyNumberFormat="1" applyFont="1" applyFill="1" applyBorder="1" applyAlignment="1">
      <alignment vertical="center"/>
    </xf>
    <xf numFmtId="164" fontId="0" fillId="8" borderId="1" xfId="0" applyNumberFormat="1" applyFill="1" applyBorder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4"/>
  <sheetViews>
    <sheetView rightToLeft="1" tabSelected="1" topLeftCell="C30" zoomScale="80" zoomScaleNormal="80" workbookViewId="0">
      <selection activeCell="G46" sqref="G46"/>
    </sheetView>
  </sheetViews>
  <sheetFormatPr defaultColWidth="9.140625" defaultRowHeight="15" x14ac:dyDescent="0.25"/>
  <cols>
    <col min="1" max="1" width="12.42578125" bestFit="1" customWidth="1"/>
    <col min="2" max="2" width="26.42578125" bestFit="1" customWidth="1"/>
    <col min="3" max="3" width="10.28515625" bestFit="1" customWidth="1"/>
    <col min="5" max="5" width="26.140625" bestFit="1" customWidth="1"/>
    <col min="6" max="6" width="37.28515625" customWidth="1"/>
    <col min="7" max="7" width="9.140625" customWidth="1"/>
    <col min="9" max="9" width="5.7109375" customWidth="1"/>
    <col min="11" max="11" width="38.140625" bestFit="1" customWidth="1"/>
    <col min="16" max="16" width="38.140625" bestFit="1" customWidth="1"/>
  </cols>
  <sheetData>
    <row r="1" spans="1:18" ht="18.75" x14ac:dyDescent="0.25">
      <c r="A1" s="3" t="s">
        <v>0</v>
      </c>
      <c r="B1" s="9" t="s">
        <v>23</v>
      </c>
      <c r="C1" s="4" t="s">
        <v>1</v>
      </c>
      <c r="E1" s="3" t="s">
        <v>0</v>
      </c>
      <c r="F1" s="9" t="s">
        <v>40</v>
      </c>
      <c r="G1" s="10" t="s">
        <v>1</v>
      </c>
      <c r="J1" s="3" t="s">
        <v>0</v>
      </c>
      <c r="K1" s="8" t="s">
        <v>24</v>
      </c>
      <c r="L1" s="3" t="s">
        <v>25</v>
      </c>
      <c r="M1" s="10" t="s">
        <v>1</v>
      </c>
      <c r="O1" s="3" t="s">
        <v>0</v>
      </c>
      <c r="P1" s="8" t="s">
        <v>24</v>
      </c>
      <c r="Q1" s="3" t="s">
        <v>25</v>
      </c>
      <c r="R1" s="10" t="s">
        <v>1</v>
      </c>
    </row>
    <row r="2" spans="1:18" x14ac:dyDescent="0.25">
      <c r="A2" s="4"/>
      <c r="B2" s="4"/>
      <c r="C2" s="4" t="s">
        <v>2</v>
      </c>
      <c r="E2" s="10"/>
      <c r="F2" s="10"/>
      <c r="G2" s="10" t="s">
        <v>2</v>
      </c>
      <c r="J2" s="10"/>
      <c r="K2" s="10"/>
      <c r="L2" s="10"/>
      <c r="M2" s="10" t="s">
        <v>2</v>
      </c>
      <c r="O2" s="10"/>
      <c r="P2" s="10"/>
      <c r="Q2" s="10"/>
      <c r="R2" s="10" t="s">
        <v>2</v>
      </c>
    </row>
    <row r="3" spans="1:18" x14ac:dyDescent="0.25">
      <c r="A3" s="3" t="s">
        <v>3</v>
      </c>
      <c r="B3" s="3" t="s">
        <v>4</v>
      </c>
      <c r="C3" s="5">
        <v>400707.20899999997</v>
      </c>
      <c r="E3" s="3" t="s">
        <v>3</v>
      </c>
      <c r="F3" s="3" t="s">
        <v>4</v>
      </c>
      <c r="G3" s="5">
        <v>231005.64499999999</v>
      </c>
      <c r="J3" s="3" t="s">
        <v>3</v>
      </c>
      <c r="K3" s="3" t="s">
        <v>10</v>
      </c>
      <c r="L3" s="3" t="s">
        <v>26</v>
      </c>
      <c r="M3" s="5">
        <v>604.32399999999996</v>
      </c>
      <c r="O3" s="3" t="s">
        <v>3</v>
      </c>
      <c r="P3" s="3" t="s">
        <v>14</v>
      </c>
      <c r="Q3" s="3" t="s">
        <v>26</v>
      </c>
      <c r="R3" s="5">
        <v>3609.5540000000001</v>
      </c>
    </row>
    <row r="4" spans="1:18" x14ac:dyDescent="0.25">
      <c r="A4" s="3" t="s">
        <v>3</v>
      </c>
      <c r="B4" s="3" t="s">
        <v>5</v>
      </c>
      <c r="C4" s="5">
        <v>321816.88199999998</v>
      </c>
      <c r="E4" s="3" t="s">
        <v>3</v>
      </c>
      <c r="F4" s="3" t="s">
        <v>10</v>
      </c>
      <c r="G4" s="5">
        <v>214447.11900000001</v>
      </c>
      <c r="J4" s="3" t="s">
        <v>3</v>
      </c>
      <c r="K4" s="3" t="s">
        <v>10</v>
      </c>
      <c r="L4" s="3" t="s">
        <v>27</v>
      </c>
      <c r="M4" s="5">
        <v>79271.751999999993</v>
      </c>
      <c r="O4" s="3" t="s">
        <v>3</v>
      </c>
      <c r="P4" s="3" t="s">
        <v>14</v>
      </c>
      <c r="Q4" s="3" t="s">
        <v>28</v>
      </c>
      <c r="R4" s="5">
        <v>1452.384</v>
      </c>
    </row>
    <row r="5" spans="1:18" x14ac:dyDescent="0.25">
      <c r="A5" s="3" t="s">
        <v>3</v>
      </c>
      <c r="B5" s="3" t="s">
        <v>6</v>
      </c>
      <c r="C5" s="5">
        <v>316492.87599999999</v>
      </c>
      <c r="E5" s="3" t="s">
        <v>3</v>
      </c>
      <c r="F5" s="3" t="s">
        <v>7</v>
      </c>
      <c r="G5" s="5">
        <v>180800.77600000001</v>
      </c>
      <c r="J5" s="3" t="s">
        <v>3</v>
      </c>
      <c r="K5" s="3" t="s">
        <v>10</v>
      </c>
      <c r="L5" s="3" t="s">
        <v>28</v>
      </c>
      <c r="M5" s="5">
        <v>2672.152</v>
      </c>
      <c r="O5" s="3" t="s">
        <v>3</v>
      </c>
      <c r="P5" s="3" t="s">
        <v>14</v>
      </c>
      <c r="Q5" s="3" t="s">
        <v>34</v>
      </c>
      <c r="R5" s="5">
        <v>360.78500000000003</v>
      </c>
    </row>
    <row r="6" spans="1:18" x14ac:dyDescent="0.25">
      <c r="A6" s="3" t="s">
        <v>3</v>
      </c>
      <c r="B6" s="3" t="s">
        <v>7</v>
      </c>
      <c r="C6" s="5">
        <v>314025.40600000002</v>
      </c>
      <c r="E6" s="3" t="s">
        <v>3</v>
      </c>
      <c r="F6" s="3" t="s">
        <v>5</v>
      </c>
      <c r="G6" s="5">
        <v>177591.43100000001</v>
      </c>
      <c r="J6" s="3" t="s">
        <v>3</v>
      </c>
      <c r="K6" s="3" t="s">
        <v>10</v>
      </c>
      <c r="L6" s="3" t="s">
        <v>29</v>
      </c>
      <c r="M6" s="5">
        <v>84467.596000000005</v>
      </c>
      <c r="O6" s="3" t="s">
        <v>3</v>
      </c>
      <c r="P6" s="3" t="s">
        <v>14</v>
      </c>
      <c r="Q6" s="3" t="s">
        <v>29</v>
      </c>
      <c r="R6" s="5">
        <v>5385.87</v>
      </c>
    </row>
    <row r="7" spans="1:18" x14ac:dyDescent="0.25">
      <c r="A7" s="3" t="s">
        <v>3</v>
      </c>
      <c r="B7" s="3" t="s">
        <v>8</v>
      </c>
      <c r="C7" s="5">
        <v>307406.65500000003</v>
      </c>
      <c r="E7" s="3" t="s">
        <v>3</v>
      </c>
      <c r="F7" s="3" t="s">
        <v>6</v>
      </c>
      <c r="G7" s="5">
        <v>166984.88800000001</v>
      </c>
      <c r="J7" s="3" t="s">
        <v>3</v>
      </c>
      <c r="K7" s="3" t="s">
        <v>10</v>
      </c>
      <c r="L7" s="3" t="s">
        <v>30</v>
      </c>
      <c r="M7" s="5">
        <v>6352.83</v>
      </c>
      <c r="O7" s="11" t="s">
        <v>3</v>
      </c>
      <c r="P7" s="11" t="s">
        <v>14</v>
      </c>
      <c r="Q7" s="11"/>
      <c r="R7" s="12">
        <v>10808.593000000001</v>
      </c>
    </row>
    <row r="8" spans="1:18" x14ac:dyDescent="0.25">
      <c r="A8" s="3" t="s">
        <v>3</v>
      </c>
      <c r="B8" s="3" t="s">
        <v>9</v>
      </c>
      <c r="C8" s="5">
        <v>243705.774</v>
      </c>
      <c r="E8" s="3" t="s">
        <v>3</v>
      </c>
      <c r="F8" s="3" t="s">
        <v>8</v>
      </c>
      <c r="G8" s="5">
        <v>157992.59599999999</v>
      </c>
      <c r="J8" s="3" t="s">
        <v>3</v>
      </c>
      <c r="K8" s="3" t="s">
        <v>10</v>
      </c>
      <c r="L8" s="3" t="s">
        <v>31</v>
      </c>
      <c r="M8" s="5">
        <v>4851.6769999999997</v>
      </c>
      <c r="O8" s="3" t="s">
        <v>3</v>
      </c>
      <c r="P8" s="3" t="s">
        <v>20</v>
      </c>
      <c r="Q8" s="3" t="s">
        <v>26</v>
      </c>
      <c r="R8" s="5">
        <v>3331.8960000000002</v>
      </c>
    </row>
    <row r="9" spans="1:18" x14ac:dyDescent="0.25">
      <c r="A9" s="3" t="s">
        <v>3</v>
      </c>
      <c r="B9" s="3" t="s">
        <v>10</v>
      </c>
      <c r="C9" s="5">
        <v>239086.05900000001</v>
      </c>
      <c r="E9" s="3" t="s">
        <v>3</v>
      </c>
      <c r="F9" s="3" t="s">
        <v>9</v>
      </c>
      <c r="G9" s="5">
        <v>129759.357</v>
      </c>
      <c r="J9" s="3" t="s">
        <v>3</v>
      </c>
      <c r="K9" s="3" t="s">
        <v>10</v>
      </c>
      <c r="L9" s="3" t="s">
        <v>32</v>
      </c>
      <c r="M9" s="5">
        <v>366.52800000000002</v>
      </c>
      <c r="O9" s="3" t="s">
        <v>3</v>
      </c>
      <c r="P9" s="3" t="s">
        <v>20</v>
      </c>
      <c r="Q9" s="3" t="s">
        <v>28</v>
      </c>
      <c r="R9" s="5">
        <v>1210.32</v>
      </c>
    </row>
    <row r="10" spans="1:18" x14ac:dyDescent="0.25">
      <c r="A10" s="3" t="s">
        <v>3</v>
      </c>
      <c r="B10" s="3" t="s">
        <v>11</v>
      </c>
      <c r="C10" s="5">
        <v>146235.78200000001</v>
      </c>
      <c r="E10" s="3" t="s">
        <v>3</v>
      </c>
      <c r="F10" s="3" t="s">
        <v>12</v>
      </c>
      <c r="G10" s="5">
        <v>42007.870000000097</v>
      </c>
      <c r="J10" s="11" t="s">
        <v>3</v>
      </c>
      <c r="K10" s="11" t="s">
        <v>10</v>
      </c>
      <c r="L10" s="11"/>
      <c r="M10" s="12">
        <v>178586.859</v>
      </c>
      <c r="O10" s="3" t="s">
        <v>3</v>
      </c>
      <c r="P10" s="3" t="s">
        <v>20</v>
      </c>
      <c r="Q10" s="3" t="s">
        <v>34</v>
      </c>
      <c r="R10" s="5">
        <v>338.23500000000001</v>
      </c>
    </row>
    <row r="11" spans="1:18" x14ac:dyDescent="0.25">
      <c r="A11" s="3" t="s">
        <v>3</v>
      </c>
      <c r="B11" s="3" t="s">
        <v>12</v>
      </c>
      <c r="C11" s="5">
        <v>88021.477000000101</v>
      </c>
      <c r="E11" s="3" t="s">
        <v>3</v>
      </c>
      <c r="F11" s="3" t="s">
        <v>13</v>
      </c>
      <c r="G11" s="5">
        <v>39522.714999999997</v>
      </c>
      <c r="J11" s="3" t="s">
        <v>3</v>
      </c>
      <c r="K11" s="3" t="s">
        <v>9</v>
      </c>
      <c r="L11" s="3" t="s">
        <v>33</v>
      </c>
      <c r="M11" s="5">
        <v>807.86400000000003</v>
      </c>
      <c r="O11" s="3" t="s">
        <v>3</v>
      </c>
      <c r="P11" s="3" t="s">
        <v>20</v>
      </c>
      <c r="Q11" s="3" t="s">
        <v>29</v>
      </c>
      <c r="R11" s="5">
        <v>6333.1809999999996</v>
      </c>
    </row>
    <row r="12" spans="1:18" x14ac:dyDescent="0.25">
      <c r="A12" s="3" t="s">
        <v>3</v>
      </c>
      <c r="B12" s="3" t="s">
        <v>13</v>
      </c>
      <c r="C12" s="5">
        <v>73412.206000000006</v>
      </c>
      <c r="E12" s="3" t="s">
        <v>3</v>
      </c>
      <c r="F12" s="3" t="s">
        <v>14</v>
      </c>
      <c r="G12" s="5">
        <v>31525.503000000001</v>
      </c>
      <c r="J12" s="3" t="s">
        <v>3</v>
      </c>
      <c r="K12" s="3" t="s">
        <v>9</v>
      </c>
      <c r="L12" s="3" t="s">
        <v>26</v>
      </c>
      <c r="M12" s="5">
        <v>2105.8470000000002</v>
      </c>
      <c r="O12" s="11" t="s">
        <v>3</v>
      </c>
      <c r="P12" s="11" t="s">
        <v>20</v>
      </c>
      <c r="Q12" s="11"/>
      <c r="R12" s="12">
        <v>11213.632</v>
      </c>
    </row>
    <row r="13" spans="1:18" x14ac:dyDescent="0.25">
      <c r="A13" s="3" t="s">
        <v>3</v>
      </c>
      <c r="B13" s="3" t="s">
        <v>14</v>
      </c>
      <c r="C13" s="5">
        <v>62473.451000000001</v>
      </c>
      <c r="E13" s="3" t="s">
        <v>3</v>
      </c>
      <c r="F13" s="3" t="s">
        <v>15</v>
      </c>
      <c r="G13" s="5">
        <v>28758.607</v>
      </c>
      <c r="J13" s="3" t="s">
        <v>3</v>
      </c>
      <c r="K13" s="3" t="s">
        <v>9</v>
      </c>
      <c r="L13" s="3" t="s">
        <v>27</v>
      </c>
      <c r="M13" s="5">
        <v>70142.235000000001</v>
      </c>
      <c r="O13" s="3" t="s">
        <v>3</v>
      </c>
      <c r="P13" s="3" t="s">
        <v>17</v>
      </c>
      <c r="Q13" s="3" t="s">
        <v>26</v>
      </c>
      <c r="R13" s="5">
        <v>2915.4090000000001</v>
      </c>
    </row>
    <row r="14" spans="1:18" x14ac:dyDescent="0.25">
      <c r="A14" s="3" t="s">
        <v>3</v>
      </c>
      <c r="B14" s="3" t="s">
        <v>15</v>
      </c>
      <c r="C14" s="5">
        <v>57828.468000000103</v>
      </c>
      <c r="E14" s="3" t="s">
        <v>3</v>
      </c>
      <c r="F14" s="3" t="s">
        <v>17</v>
      </c>
      <c r="G14" s="5">
        <v>26650.399000000001</v>
      </c>
      <c r="J14" s="3" t="s">
        <v>3</v>
      </c>
      <c r="K14" s="3" t="s">
        <v>9</v>
      </c>
      <c r="L14" s="3" t="s">
        <v>28</v>
      </c>
      <c r="M14" s="5">
        <v>2299.6080000000002</v>
      </c>
      <c r="O14" s="3" t="s">
        <v>3</v>
      </c>
      <c r="P14" s="3" t="s">
        <v>17</v>
      </c>
      <c r="Q14" s="3" t="s">
        <v>28</v>
      </c>
      <c r="R14" s="5">
        <v>1331.3520000000001</v>
      </c>
    </row>
    <row r="15" spans="1:18" x14ac:dyDescent="0.25">
      <c r="A15" s="3" t="s">
        <v>3</v>
      </c>
      <c r="B15" s="3" t="s">
        <v>16</v>
      </c>
      <c r="C15" s="5">
        <v>55460.741999999998</v>
      </c>
      <c r="E15" s="3" t="s">
        <v>3</v>
      </c>
      <c r="F15" s="3" t="s">
        <v>16</v>
      </c>
      <c r="G15" s="5">
        <v>25617.696</v>
      </c>
      <c r="J15" s="3" t="s">
        <v>3</v>
      </c>
      <c r="K15" s="3" t="s">
        <v>9</v>
      </c>
      <c r="L15" s="3" t="s">
        <v>29</v>
      </c>
      <c r="M15" s="5">
        <v>41198.027000000002</v>
      </c>
      <c r="O15" s="3" t="s">
        <v>3</v>
      </c>
      <c r="P15" s="3" t="s">
        <v>17</v>
      </c>
      <c r="Q15" s="3" t="s">
        <v>34</v>
      </c>
      <c r="R15" s="5">
        <v>699.02200000000005</v>
      </c>
    </row>
    <row r="16" spans="1:18" x14ac:dyDescent="0.25">
      <c r="A16" s="3" t="s">
        <v>3</v>
      </c>
      <c r="B16" s="3" t="s">
        <v>17</v>
      </c>
      <c r="C16" s="5">
        <v>49528.124000000003</v>
      </c>
      <c r="E16" s="3" t="s">
        <v>3</v>
      </c>
      <c r="F16" s="3" t="s">
        <v>18</v>
      </c>
      <c r="G16" s="5">
        <v>21456.581999999999</v>
      </c>
      <c r="J16" s="3" t="s">
        <v>3</v>
      </c>
      <c r="K16" s="3" t="s">
        <v>9</v>
      </c>
      <c r="L16" s="3" t="s">
        <v>30</v>
      </c>
      <c r="M16" s="5">
        <v>8717.4000000000106</v>
      </c>
      <c r="O16" s="3" t="s">
        <v>3</v>
      </c>
      <c r="P16" s="3" t="s">
        <v>17</v>
      </c>
      <c r="Q16" s="3" t="s">
        <v>29</v>
      </c>
      <c r="R16" s="5">
        <v>4720.4660000000003</v>
      </c>
    </row>
    <row r="17" spans="1:18" x14ac:dyDescent="0.25">
      <c r="A17" s="3" t="s">
        <v>3</v>
      </c>
      <c r="B17" s="3" t="s">
        <v>18</v>
      </c>
      <c r="C17" s="5">
        <v>42894.464</v>
      </c>
      <c r="E17" s="3" t="s">
        <v>3</v>
      </c>
      <c r="F17" s="3" t="s">
        <v>20</v>
      </c>
      <c r="G17" s="5">
        <v>21003.531999999999</v>
      </c>
      <c r="J17" s="3" t="s">
        <v>3</v>
      </c>
      <c r="K17" s="3" t="s">
        <v>9</v>
      </c>
      <c r="L17" s="3" t="s">
        <v>31</v>
      </c>
      <c r="M17" s="5">
        <v>2198.2359999999999</v>
      </c>
      <c r="O17" s="11" t="s">
        <v>3</v>
      </c>
      <c r="P17" s="11" t="s">
        <v>17</v>
      </c>
      <c r="Q17" s="11"/>
      <c r="R17" s="12">
        <v>9666.2489999999998</v>
      </c>
    </row>
    <row r="18" spans="1:18" x14ac:dyDescent="0.25">
      <c r="A18" s="3" t="s">
        <v>3</v>
      </c>
      <c r="B18" s="3" t="s">
        <v>19</v>
      </c>
      <c r="C18" s="5">
        <v>41211.569000000098</v>
      </c>
      <c r="E18" s="3" t="s">
        <v>3</v>
      </c>
      <c r="F18" s="3" t="s">
        <v>19</v>
      </c>
      <c r="G18" s="5">
        <v>19430.844000000001</v>
      </c>
      <c r="J18" s="3" t="s">
        <v>3</v>
      </c>
      <c r="K18" s="3" t="s">
        <v>9</v>
      </c>
      <c r="L18" s="3" t="s">
        <v>32</v>
      </c>
      <c r="M18" s="5">
        <v>457.38</v>
      </c>
      <c r="O18" s="3" t="s">
        <v>3</v>
      </c>
      <c r="P18" s="3" t="s">
        <v>21</v>
      </c>
      <c r="Q18" s="3" t="s">
        <v>26</v>
      </c>
      <c r="R18" s="5">
        <v>1804.7739999999999</v>
      </c>
    </row>
    <row r="19" spans="1:18" x14ac:dyDescent="0.25">
      <c r="A19" s="3" t="s">
        <v>3</v>
      </c>
      <c r="B19" s="3" t="s">
        <v>20</v>
      </c>
      <c r="C19" s="5">
        <v>38788.218999999997</v>
      </c>
      <c r="E19" s="3" t="s">
        <v>3</v>
      </c>
      <c r="F19" s="3" t="s">
        <v>21</v>
      </c>
      <c r="G19" s="5">
        <v>17013.205999999998</v>
      </c>
      <c r="J19" s="11" t="s">
        <v>3</v>
      </c>
      <c r="K19" s="11" t="s">
        <v>9</v>
      </c>
      <c r="L19" s="11"/>
      <c r="M19" s="12">
        <v>127926.59699999999</v>
      </c>
      <c r="O19" s="3" t="s">
        <v>3</v>
      </c>
      <c r="P19" s="3" t="s">
        <v>21</v>
      </c>
      <c r="Q19" s="3" t="s">
        <v>28</v>
      </c>
      <c r="R19" s="5">
        <v>1636.2940000000001</v>
      </c>
    </row>
    <row r="20" spans="1:18" x14ac:dyDescent="0.25">
      <c r="A20" s="3" t="s">
        <v>3</v>
      </c>
      <c r="B20" s="3" t="s">
        <v>21</v>
      </c>
      <c r="C20" s="5">
        <v>31309.469000000001</v>
      </c>
      <c r="E20" s="1" t="s">
        <v>22</v>
      </c>
      <c r="F20" s="1"/>
      <c r="G20" s="2">
        <v>1531568.76599998</v>
      </c>
      <c r="J20" s="3" t="s">
        <v>3</v>
      </c>
      <c r="K20" s="3" t="s">
        <v>4</v>
      </c>
      <c r="L20" s="3" t="s">
        <v>33</v>
      </c>
      <c r="M20" s="5">
        <v>1885.0160000000001</v>
      </c>
      <c r="O20" s="3" t="s">
        <v>3</v>
      </c>
      <c r="P20" s="3" t="s">
        <v>21</v>
      </c>
      <c r="Q20" s="3" t="s">
        <v>34</v>
      </c>
      <c r="R20" s="5">
        <v>180.392</v>
      </c>
    </row>
    <row r="21" spans="1:18" x14ac:dyDescent="0.25">
      <c r="A21" s="6" t="s">
        <v>22</v>
      </c>
      <c r="B21" s="6"/>
      <c r="C21" s="7">
        <v>2830404.8319999701</v>
      </c>
      <c r="J21" s="3" t="s">
        <v>3</v>
      </c>
      <c r="K21" s="3" t="s">
        <v>4</v>
      </c>
      <c r="L21" s="3" t="s">
        <v>26</v>
      </c>
      <c r="M21" s="5">
        <v>7063.6850000000004</v>
      </c>
      <c r="O21" s="3" t="s">
        <v>3</v>
      </c>
      <c r="P21" s="3" t="s">
        <v>21</v>
      </c>
      <c r="Q21" s="3" t="s">
        <v>29</v>
      </c>
      <c r="R21" s="5">
        <v>5099.2610000000004</v>
      </c>
    </row>
    <row r="22" spans="1:18" ht="18.75" x14ac:dyDescent="0.25">
      <c r="E22" s="3" t="s">
        <v>0</v>
      </c>
      <c r="F22" s="9" t="s">
        <v>41</v>
      </c>
      <c r="G22" s="4" t="s">
        <v>1</v>
      </c>
      <c r="J22" s="3" t="s">
        <v>3</v>
      </c>
      <c r="K22" s="3" t="s">
        <v>4</v>
      </c>
      <c r="L22" s="3" t="s">
        <v>27</v>
      </c>
      <c r="M22" s="5">
        <v>101368.273</v>
      </c>
      <c r="O22" s="11" t="s">
        <v>3</v>
      </c>
      <c r="P22" s="11" t="s">
        <v>21</v>
      </c>
      <c r="Q22" s="11"/>
      <c r="R22" s="12">
        <v>8720.7209999999995</v>
      </c>
    </row>
    <row r="23" spans="1:18" x14ac:dyDescent="0.25">
      <c r="E23" s="4"/>
      <c r="F23" s="4"/>
      <c r="G23" s="4" t="s">
        <v>2</v>
      </c>
      <c r="J23" s="3" t="s">
        <v>3</v>
      </c>
      <c r="K23" s="3" t="s">
        <v>4</v>
      </c>
      <c r="L23" s="3" t="s">
        <v>28</v>
      </c>
      <c r="M23" s="5">
        <v>3025.8</v>
      </c>
      <c r="O23" s="6" t="s">
        <v>22</v>
      </c>
      <c r="P23" s="13"/>
      <c r="Q23" s="6"/>
      <c r="R23" s="14">
        <f>R22+R17+R12+R7</f>
        <v>40409.195</v>
      </c>
    </row>
    <row r="24" spans="1:18" x14ac:dyDescent="0.25">
      <c r="E24" s="3" t="s">
        <v>3</v>
      </c>
      <c r="F24" s="3" t="s">
        <v>15</v>
      </c>
      <c r="G24" s="20">
        <v>8416.9570000000003</v>
      </c>
      <c r="J24" s="3" t="s">
        <v>3</v>
      </c>
      <c r="K24" s="3" t="s">
        <v>4</v>
      </c>
      <c r="L24" s="3" t="s">
        <v>29</v>
      </c>
      <c r="M24" s="5">
        <v>42518.800999999999</v>
      </c>
    </row>
    <row r="25" spans="1:18" x14ac:dyDescent="0.25">
      <c r="E25" s="3" t="s">
        <v>3</v>
      </c>
      <c r="F25" s="3" t="s">
        <v>19</v>
      </c>
      <c r="G25" s="20">
        <v>6081.0590000000002</v>
      </c>
      <c r="J25" s="3" t="s">
        <v>3</v>
      </c>
      <c r="K25" s="3" t="s">
        <v>4</v>
      </c>
      <c r="L25" s="3" t="s">
        <v>30</v>
      </c>
      <c r="M25" s="5">
        <v>12603.36</v>
      </c>
      <c r="O25" s="3" t="s">
        <v>0</v>
      </c>
      <c r="P25" s="8" t="s">
        <v>24</v>
      </c>
      <c r="Q25" s="3" t="s">
        <v>25</v>
      </c>
      <c r="R25" s="10" t="s">
        <v>1</v>
      </c>
    </row>
    <row r="26" spans="1:18" x14ac:dyDescent="0.25">
      <c r="E26" s="3" t="s">
        <v>3</v>
      </c>
      <c r="F26" s="3" t="s">
        <v>10</v>
      </c>
      <c r="G26" s="20">
        <v>178586.859</v>
      </c>
      <c r="J26" s="3" t="s">
        <v>3</v>
      </c>
      <c r="K26" s="3" t="s">
        <v>4</v>
      </c>
      <c r="L26" s="3" t="s">
        <v>31</v>
      </c>
      <c r="M26" s="5">
        <v>3491.3209999999999</v>
      </c>
      <c r="O26" s="10"/>
      <c r="P26" s="10"/>
      <c r="Q26" s="10"/>
      <c r="R26" s="10" t="s">
        <v>2</v>
      </c>
    </row>
    <row r="27" spans="1:18" x14ac:dyDescent="0.25">
      <c r="E27" s="3" t="s">
        <v>3</v>
      </c>
      <c r="F27" s="3" t="s">
        <v>9</v>
      </c>
      <c r="G27" s="20">
        <v>127926.59699999999</v>
      </c>
      <c r="J27" s="3" t="s">
        <v>3</v>
      </c>
      <c r="K27" s="3" t="s">
        <v>4</v>
      </c>
      <c r="L27" s="3" t="s">
        <v>32</v>
      </c>
      <c r="M27" s="5">
        <v>863.94</v>
      </c>
      <c r="O27" s="3" t="s">
        <v>3</v>
      </c>
      <c r="P27" s="3" t="s">
        <v>15</v>
      </c>
      <c r="Q27" s="3" t="s">
        <v>33</v>
      </c>
      <c r="R27" s="5">
        <v>803.6</v>
      </c>
    </row>
    <row r="28" spans="1:18" x14ac:dyDescent="0.25">
      <c r="E28" s="3" t="s">
        <v>3</v>
      </c>
      <c r="F28" s="3" t="s">
        <v>4</v>
      </c>
      <c r="G28" s="20">
        <v>172820.196</v>
      </c>
      <c r="J28" s="11" t="s">
        <v>3</v>
      </c>
      <c r="K28" s="11" t="s">
        <v>4</v>
      </c>
      <c r="L28" s="11"/>
      <c r="M28" s="12">
        <v>172820.196</v>
      </c>
      <c r="O28" s="3" t="s">
        <v>3</v>
      </c>
      <c r="P28" s="3" t="s">
        <v>15</v>
      </c>
      <c r="Q28" s="3" t="s">
        <v>34</v>
      </c>
      <c r="R28" s="5">
        <v>2254.9209999999998</v>
      </c>
    </row>
    <row r="29" spans="1:18" x14ac:dyDescent="0.25">
      <c r="E29" s="3" t="s">
        <v>3</v>
      </c>
      <c r="F29" s="3" t="s">
        <v>8</v>
      </c>
      <c r="G29" s="20">
        <v>156225.34700000001</v>
      </c>
      <c r="J29" s="3" t="s">
        <v>3</v>
      </c>
      <c r="K29" s="3" t="s">
        <v>8</v>
      </c>
      <c r="L29" s="3" t="s">
        <v>33</v>
      </c>
      <c r="M29" s="5">
        <v>1077.152</v>
      </c>
      <c r="O29" s="3" t="s">
        <v>3</v>
      </c>
      <c r="P29" s="3" t="s">
        <v>15</v>
      </c>
      <c r="Q29" s="3" t="s">
        <v>30</v>
      </c>
      <c r="R29" s="5">
        <v>4337.5200000000004</v>
      </c>
    </row>
    <row r="30" spans="1:18" x14ac:dyDescent="0.25">
      <c r="E30" s="3" t="s">
        <v>3</v>
      </c>
      <c r="F30" s="3" t="s">
        <v>13</v>
      </c>
      <c r="G30" s="19">
        <v>11172.705</v>
      </c>
      <c r="J30" s="3" t="s">
        <v>3</v>
      </c>
      <c r="K30" s="3" t="s">
        <v>8</v>
      </c>
      <c r="L30" s="3" t="s">
        <v>26</v>
      </c>
      <c r="M30" s="5">
        <v>2608.029</v>
      </c>
      <c r="O30" s="3" t="s">
        <v>3</v>
      </c>
      <c r="P30" s="3" t="s">
        <v>15</v>
      </c>
      <c r="Q30" s="3" t="s">
        <v>31</v>
      </c>
      <c r="R30" s="5">
        <v>258.61599999999999</v>
      </c>
    </row>
    <row r="31" spans="1:18" x14ac:dyDescent="0.25">
      <c r="E31" s="3" t="s">
        <v>3</v>
      </c>
      <c r="F31" s="3" t="s">
        <v>18</v>
      </c>
      <c r="G31" s="5">
        <v>7636.3310000000001</v>
      </c>
      <c r="J31" s="3" t="s">
        <v>3</v>
      </c>
      <c r="K31" s="3" t="s">
        <v>8</v>
      </c>
      <c r="L31" s="3" t="s">
        <v>27</v>
      </c>
      <c r="M31" s="5">
        <v>79628.372000000003</v>
      </c>
      <c r="O31" s="3" t="s">
        <v>3</v>
      </c>
      <c r="P31" s="3" t="s">
        <v>15</v>
      </c>
      <c r="Q31" s="3" t="s">
        <v>32</v>
      </c>
      <c r="R31" s="5">
        <v>762.3</v>
      </c>
    </row>
    <row r="32" spans="1:18" x14ac:dyDescent="0.25">
      <c r="E32" s="3" t="s">
        <v>3</v>
      </c>
      <c r="F32" s="3" t="s">
        <v>7</v>
      </c>
      <c r="G32" s="5">
        <v>142920.231</v>
      </c>
      <c r="J32" s="3" t="s">
        <v>3</v>
      </c>
      <c r="K32" s="3" t="s">
        <v>8</v>
      </c>
      <c r="L32" s="3" t="s">
        <v>28</v>
      </c>
      <c r="M32" s="5">
        <v>2662.7040000000002</v>
      </c>
      <c r="O32" s="11" t="s">
        <v>3</v>
      </c>
      <c r="P32" s="11" t="s">
        <v>15</v>
      </c>
      <c r="Q32" s="11"/>
      <c r="R32" s="12">
        <v>8416.9570000000003</v>
      </c>
    </row>
    <row r="33" spans="5:18" x14ac:dyDescent="0.25">
      <c r="E33" s="3" t="s">
        <v>3</v>
      </c>
      <c r="F33" s="3" t="s">
        <v>6</v>
      </c>
      <c r="G33" s="5">
        <v>160762.948</v>
      </c>
      <c r="J33" s="3" t="s">
        <v>3</v>
      </c>
      <c r="K33" s="3" t="s">
        <v>8</v>
      </c>
      <c r="L33" s="3" t="s">
        <v>29</v>
      </c>
      <c r="M33" s="5">
        <v>52865.737000000001</v>
      </c>
      <c r="O33" s="3" t="s">
        <v>3</v>
      </c>
      <c r="P33" s="3" t="s">
        <v>19</v>
      </c>
      <c r="Q33" s="3" t="s">
        <v>33</v>
      </c>
      <c r="R33" s="5">
        <v>482.16</v>
      </c>
    </row>
    <row r="34" spans="5:18" x14ac:dyDescent="0.25">
      <c r="E34" s="3" t="s">
        <v>3</v>
      </c>
      <c r="F34" s="3" t="s">
        <v>5</v>
      </c>
      <c r="G34" s="5">
        <v>175011.33100000001</v>
      </c>
      <c r="J34" s="3" t="s">
        <v>3</v>
      </c>
      <c r="K34" s="3" t="s">
        <v>8</v>
      </c>
      <c r="L34" s="3" t="s">
        <v>30</v>
      </c>
      <c r="M34" s="5">
        <v>11744.04</v>
      </c>
      <c r="O34" s="3" t="s">
        <v>3</v>
      </c>
      <c r="P34" s="3" t="s">
        <v>19</v>
      </c>
      <c r="Q34" s="3" t="s">
        <v>34</v>
      </c>
      <c r="R34" s="5">
        <v>2300.0250000000001</v>
      </c>
    </row>
    <row r="35" spans="5:18" x14ac:dyDescent="0.25">
      <c r="E35" s="3" t="s">
        <v>3</v>
      </c>
      <c r="F35" s="3" t="s">
        <v>21</v>
      </c>
      <c r="G35" s="5">
        <v>8720.7209999999995</v>
      </c>
      <c r="J35" s="3" t="s">
        <v>3</v>
      </c>
      <c r="K35" s="3" t="s">
        <v>8</v>
      </c>
      <c r="L35" s="3" t="s">
        <v>31</v>
      </c>
      <c r="M35" s="5">
        <v>4267.1729999999998</v>
      </c>
      <c r="O35" s="3" t="s">
        <v>3</v>
      </c>
      <c r="P35" s="3" t="s">
        <v>19</v>
      </c>
      <c r="Q35" s="3" t="s">
        <v>30</v>
      </c>
      <c r="R35" s="5">
        <v>2946.24</v>
      </c>
    </row>
    <row r="36" spans="5:18" x14ac:dyDescent="0.25">
      <c r="E36" s="3" t="s">
        <v>3</v>
      </c>
      <c r="F36" s="3" t="s">
        <v>14</v>
      </c>
      <c r="G36" s="5">
        <v>10808.593000000001</v>
      </c>
      <c r="J36" s="3" t="s">
        <v>3</v>
      </c>
      <c r="K36" s="3" t="s">
        <v>8</v>
      </c>
      <c r="L36" s="3" t="s">
        <v>32</v>
      </c>
      <c r="M36" s="5">
        <v>1372.14</v>
      </c>
      <c r="O36" s="3" t="s">
        <v>3</v>
      </c>
      <c r="P36" s="3" t="s">
        <v>19</v>
      </c>
      <c r="Q36" s="3" t="s">
        <v>31</v>
      </c>
      <c r="R36" s="5">
        <v>64.653999999999996</v>
      </c>
    </row>
    <row r="37" spans="5:18" x14ac:dyDescent="0.25">
      <c r="E37" s="3" t="s">
        <v>3</v>
      </c>
      <c r="F37" s="3" t="s">
        <v>20</v>
      </c>
      <c r="G37" s="5">
        <v>11213.632</v>
      </c>
      <c r="J37" s="11" t="s">
        <v>3</v>
      </c>
      <c r="K37" s="11" t="s">
        <v>8</v>
      </c>
      <c r="L37" s="11"/>
      <c r="M37" s="12">
        <v>156225.34700000001</v>
      </c>
      <c r="O37" s="3" t="s">
        <v>3</v>
      </c>
      <c r="P37" s="3" t="s">
        <v>19</v>
      </c>
      <c r="Q37" s="3" t="s">
        <v>32</v>
      </c>
      <c r="R37" s="5">
        <v>287.98</v>
      </c>
    </row>
    <row r="38" spans="5:18" x14ac:dyDescent="0.25">
      <c r="E38" s="3" t="s">
        <v>3</v>
      </c>
      <c r="F38" s="3" t="s">
        <v>17</v>
      </c>
      <c r="G38" s="5">
        <v>9666.2489999999998</v>
      </c>
      <c r="J38" s="3" t="s">
        <v>3</v>
      </c>
      <c r="K38" s="3" t="s">
        <v>7</v>
      </c>
      <c r="L38" s="3" t="s">
        <v>33</v>
      </c>
      <c r="M38" s="5">
        <v>1776.9749999999999</v>
      </c>
      <c r="O38" s="11" t="s">
        <v>3</v>
      </c>
      <c r="P38" s="11" t="s">
        <v>19</v>
      </c>
      <c r="Q38" s="11"/>
      <c r="R38" s="12">
        <v>6081.0590000000002</v>
      </c>
    </row>
    <row r="39" spans="5:18" x14ac:dyDescent="0.25">
      <c r="E39" s="3" t="s">
        <v>3</v>
      </c>
      <c r="F39" s="3" t="s">
        <v>12</v>
      </c>
      <c r="G39" s="5">
        <v>14900.78</v>
      </c>
      <c r="J39" s="3" t="s">
        <v>3</v>
      </c>
      <c r="K39" s="3" t="s">
        <v>7</v>
      </c>
      <c r="L39" s="3" t="s">
        <v>26</v>
      </c>
      <c r="M39" s="5">
        <v>834.82100000000003</v>
      </c>
      <c r="O39" s="3" t="s">
        <v>3</v>
      </c>
      <c r="P39" s="3" t="s">
        <v>18</v>
      </c>
      <c r="Q39" s="3" t="s">
        <v>33</v>
      </c>
      <c r="R39" s="5">
        <v>1285.76</v>
      </c>
    </row>
    <row r="40" spans="5:18" x14ac:dyDescent="0.25">
      <c r="E40" s="6" t="s">
        <v>22</v>
      </c>
      <c r="F40" s="6"/>
      <c r="G40" s="7">
        <f>SUM(G24:G39)</f>
        <v>1202870.5360000001</v>
      </c>
      <c r="J40" s="3" t="s">
        <v>3</v>
      </c>
      <c r="K40" s="3" t="s">
        <v>7</v>
      </c>
      <c r="L40" s="3" t="s">
        <v>27</v>
      </c>
      <c r="M40" s="5">
        <v>80501.714999999997</v>
      </c>
      <c r="O40" s="3" t="s">
        <v>3</v>
      </c>
      <c r="P40" s="3" t="s">
        <v>18</v>
      </c>
      <c r="Q40" s="3" t="s">
        <v>34</v>
      </c>
      <c r="R40" s="5">
        <v>3089.241</v>
      </c>
    </row>
    <row r="41" spans="5:18" x14ac:dyDescent="0.25">
      <c r="G41" s="21"/>
      <c r="J41" s="3" t="s">
        <v>3</v>
      </c>
      <c r="K41" s="3" t="s">
        <v>7</v>
      </c>
      <c r="L41" s="3" t="s">
        <v>28</v>
      </c>
      <c r="M41" s="5">
        <v>4659.732</v>
      </c>
      <c r="O41" s="3" t="s">
        <v>3</v>
      </c>
      <c r="P41" s="3" t="s">
        <v>18</v>
      </c>
      <c r="Q41" s="3" t="s">
        <v>30</v>
      </c>
      <c r="R41" s="5">
        <v>2291.52</v>
      </c>
    </row>
    <row r="42" spans="5:18" x14ac:dyDescent="0.25">
      <c r="J42" s="3" t="s">
        <v>3</v>
      </c>
      <c r="K42" s="3" t="s">
        <v>7</v>
      </c>
      <c r="L42" s="3" t="s">
        <v>29</v>
      </c>
      <c r="M42" s="5">
        <v>43667.053999999996</v>
      </c>
      <c r="O42" s="3" t="s">
        <v>3</v>
      </c>
      <c r="P42" s="3" t="s">
        <v>18</v>
      </c>
      <c r="Q42" s="3" t="s">
        <v>31</v>
      </c>
      <c r="R42" s="5">
        <v>969.81</v>
      </c>
    </row>
    <row r="43" spans="5:18" x14ac:dyDescent="0.25">
      <c r="J43" s="3" t="s">
        <v>3</v>
      </c>
      <c r="K43" s="3" t="s">
        <v>7</v>
      </c>
      <c r="L43" s="3" t="s">
        <v>30</v>
      </c>
      <c r="M43" s="5">
        <v>7856.64</v>
      </c>
      <c r="O43" s="11" t="s">
        <v>3</v>
      </c>
      <c r="P43" s="11" t="s">
        <v>18</v>
      </c>
      <c r="Q43" s="11"/>
      <c r="R43" s="12">
        <v>7636.3310000000001</v>
      </c>
    </row>
    <row r="44" spans="5:18" x14ac:dyDescent="0.25">
      <c r="E44" s="15" t="s">
        <v>39</v>
      </c>
      <c r="F44" s="15"/>
      <c r="G44" s="18">
        <f>G40</f>
        <v>1202870.5360000001</v>
      </c>
      <c r="J44" s="3" t="s">
        <v>3</v>
      </c>
      <c r="K44" s="3" t="s">
        <v>7</v>
      </c>
      <c r="L44" s="3" t="s">
        <v>31</v>
      </c>
      <c r="M44" s="5">
        <v>3369.194</v>
      </c>
      <c r="O44" s="3" t="s">
        <v>3</v>
      </c>
      <c r="P44" s="3" t="s">
        <v>12</v>
      </c>
      <c r="Q44" s="3" t="s">
        <v>33</v>
      </c>
      <c r="R44" s="5">
        <v>1604.848</v>
      </c>
    </row>
    <row r="45" spans="5:18" x14ac:dyDescent="0.25">
      <c r="E45" s="15" t="s">
        <v>35</v>
      </c>
      <c r="F45" s="15"/>
      <c r="G45" s="16">
        <v>1114254</v>
      </c>
      <c r="J45" s="3" t="s">
        <v>3</v>
      </c>
      <c r="K45" s="3" t="s">
        <v>7</v>
      </c>
      <c r="L45" s="3" t="s">
        <v>32</v>
      </c>
      <c r="M45" s="5">
        <v>254.1</v>
      </c>
      <c r="O45" s="3" t="s">
        <v>3</v>
      </c>
      <c r="P45" s="3" t="s">
        <v>12</v>
      </c>
      <c r="Q45" s="3" t="s">
        <v>34</v>
      </c>
      <c r="R45" s="5">
        <v>4374.5460000000003</v>
      </c>
    </row>
    <row r="46" spans="5:18" x14ac:dyDescent="0.25">
      <c r="E46" s="15"/>
      <c r="F46" s="15" t="s">
        <v>36</v>
      </c>
      <c r="G46" s="17">
        <f>G45*9%</f>
        <v>100282.86</v>
      </c>
      <c r="J46" s="11" t="s">
        <v>3</v>
      </c>
      <c r="K46" s="11" t="s">
        <v>7</v>
      </c>
      <c r="L46" s="11"/>
      <c r="M46" s="12">
        <v>142920.231</v>
      </c>
      <c r="O46" s="3" t="s">
        <v>3</v>
      </c>
      <c r="P46" s="3" t="s">
        <v>12</v>
      </c>
      <c r="Q46" s="3" t="s">
        <v>30</v>
      </c>
      <c r="R46" s="5">
        <v>7692.96</v>
      </c>
    </row>
    <row r="47" spans="5:18" x14ac:dyDescent="0.25">
      <c r="E47" s="15"/>
      <c r="F47" s="15"/>
      <c r="G47" s="17"/>
      <c r="J47" s="3" t="s">
        <v>3</v>
      </c>
      <c r="K47" s="3" t="s">
        <v>6</v>
      </c>
      <c r="L47" s="3" t="s">
        <v>33</v>
      </c>
      <c r="M47" s="5">
        <v>1615.7280000000001</v>
      </c>
      <c r="O47" s="3" t="s">
        <v>3</v>
      </c>
      <c r="P47" s="3" t="s">
        <v>12</v>
      </c>
      <c r="Q47" s="3" t="s">
        <v>31</v>
      </c>
      <c r="R47" s="5">
        <v>1228.4259999999999</v>
      </c>
    </row>
    <row r="48" spans="5:18" x14ac:dyDescent="0.25">
      <c r="E48" s="15"/>
      <c r="F48" s="15"/>
      <c r="G48" s="17"/>
      <c r="J48" s="3" t="s">
        <v>3</v>
      </c>
      <c r="K48" s="3" t="s">
        <v>6</v>
      </c>
      <c r="L48" s="3" t="s">
        <v>26</v>
      </c>
      <c r="M48" s="5">
        <v>2472.5889999999999</v>
      </c>
      <c r="O48" s="11" t="s">
        <v>3</v>
      </c>
      <c r="P48" s="11" t="s">
        <v>12</v>
      </c>
      <c r="Q48" s="11"/>
      <c r="R48" s="12">
        <v>14900.78</v>
      </c>
    </row>
    <row r="49" spans="5:18" x14ac:dyDescent="0.25">
      <c r="E49" s="15"/>
      <c r="F49" s="15"/>
      <c r="G49" s="17"/>
      <c r="J49" s="3" t="s">
        <v>3</v>
      </c>
      <c r="K49" s="3" t="s">
        <v>6</v>
      </c>
      <c r="L49" s="3" t="s">
        <v>27</v>
      </c>
      <c r="M49" s="5">
        <v>78595.167000000001</v>
      </c>
      <c r="O49" s="3" t="s">
        <v>3</v>
      </c>
      <c r="P49" s="3" t="s">
        <v>13</v>
      </c>
      <c r="Q49" s="3" t="s">
        <v>33</v>
      </c>
      <c r="R49" s="5">
        <v>964.32</v>
      </c>
    </row>
    <row r="50" spans="5:18" x14ac:dyDescent="0.25">
      <c r="E50" s="15" t="s">
        <v>37</v>
      </c>
      <c r="F50" s="15"/>
      <c r="G50" s="17">
        <v>40409</v>
      </c>
      <c r="J50" s="3" t="s">
        <v>3</v>
      </c>
      <c r="K50" s="3" t="s">
        <v>6</v>
      </c>
      <c r="L50" s="3" t="s">
        <v>28</v>
      </c>
      <c r="M50" s="5">
        <v>4177.9660000000003</v>
      </c>
      <c r="O50" s="3" t="s">
        <v>3</v>
      </c>
      <c r="P50" s="3" t="s">
        <v>13</v>
      </c>
      <c r="Q50" s="3" t="s">
        <v>34</v>
      </c>
      <c r="R50" s="5">
        <v>4352</v>
      </c>
    </row>
    <row r="51" spans="5:18" x14ac:dyDescent="0.25">
      <c r="E51" s="15"/>
      <c r="F51" s="15" t="s">
        <v>36</v>
      </c>
      <c r="G51" s="17">
        <f>G50*9%</f>
        <v>3636.81</v>
      </c>
      <c r="J51" s="3" t="s">
        <v>3</v>
      </c>
      <c r="K51" s="3" t="s">
        <v>6</v>
      </c>
      <c r="L51" s="3" t="s">
        <v>29</v>
      </c>
      <c r="M51" s="5">
        <v>57824.627</v>
      </c>
      <c r="O51" s="3" t="s">
        <v>3</v>
      </c>
      <c r="P51" s="3" t="s">
        <v>13</v>
      </c>
      <c r="Q51" s="3" t="s">
        <v>30</v>
      </c>
      <c r="R51" s="5">
        <v>5399.0050000000001</v>
      </c>
    </row>
    <row r="52" spans="5:18" x14ac:dyDescent="0.25">
      <c r="E52" s="15"/>
      <c r="F52" s="15"/>
      <c r="G52" s="17"/>
      <c r="J52" s="3" t="s">
        <v>3</v>
      </c>
      <c r="K52" s="3" t="s">
        <v>6</v>
      </c>
      <c r="L52" s="3" t="s">
        <v>30</v>
      </c>
      <c r="M52" s="5">
        <v>10475.52</v>
      </c>
      <c r="O52" s="3" t="s">
        <v>3</v>
      </c>
      <c r="P52" s="3" t="s">
        <v>13</v>
      </c>
      <c r="Q52" s="3" t="s">
        <v>32</v>
      </c>
      <c r="R52" s="5">
        <v>457.38</v>
      </c>
    </row>
    <row r="53" spans="5:18" x14ac:dyDescent="0.25">
      <c r="E53" s="15" t="s">
        <v>38</v>
      </c>
      <c r="F53" s="15"/>
      <c r="G53" s="17">
        <f>R54</f>
        <v>48207.832000000002</v>
      </c>
      <c r="J53" s="3" t="s">
        <v>3</v>
      </c>
      <c r="K53" s="3" t="s">
        <v>6</v>
      </c>
      <c r="L53" s="3" t="s">
        <v>31</v>
      </c>
      <c r="M53" s="5">
        <v>4849.0590000000002</v>
      </c>
      <c r="O53" s="11" t="s">
        <v>3</v>
      </c>
      <c r="P53" s="11" t="s">
        <v>13</v>
      </c>
      <c r="Q53" s="11"/>
      <c r="R53" s="12">
        <v>11172.705</v>
      </c>
    </row>
    <row r="54" spans="5:18" x14ac:dyDescent="0.25">
      <c r="E54" s="15"/>
      <c r="F54" s="15" t="s">
        <v>36</v>
      </c>
      <c r="G54" s="17">
        <f>G53*9%</f>
        <v>4338.7048800000002</v>
      </c>
      <c r="J54" s="3" t="s">
        <v>3</v>
      </c>
      <c r="K54" s="3" t="s">
        <v>6</v>
      </c>
      <c r="L54" s="3" t="s">
        <v>32</v>
      </c>
      <c r="M54" s="5">
        <v>752.29200000000003</v>
      </c>
      <c r="O54" s="6" t="s">
        <v>22</v>
      </c>
      <c r="P54" s="6"/>
      <c r="Q54" s="6"/>
      <c r="R54" s="7">
        <f>R53+R48+R43+R38+R32</f>
        <v>48207.832000000002</v>
      </c>
    </row>
    <row r="55" spans="5:18" x14ac:dyDescent="0.25">
      <c r="J55" s="11" t="s">
        <v>3</v>
      </c>
      <c r="K55" s="11" t="s">
        <v>6</v>
      </c>
      <c r="L55" s="11"/>
      <c r="M55" s="12">
        <v>160762.948</v>
      </c>
    </row>
    <row r="56" spans="5:18" x14ac:dyDescent="0.25">
      <c r="J56" s="3" t="s">
        <v>3</v>
      </c>
      <c r="K56" s="3" t="s">
        <v>5</v>
      </c>
      <c r="L56" s="3" t="s">
        <v>33</v>
      </c>
      <c r="M56" s="5">
        <v>1044.0920000000001</v>
      </c>
    </row>
    <row r="57" spans="5:18" x14ac:dyDescent="0.25">
      <c r="J57" s="3" t="s">
        <v>3</v>
      </c>
      <c r="K57" s="3" t="s">
        <v>5</v>
      </c>
      <c r="L57" s="3" t="s">
        <v>26</v>
      </c>
      <c r="M57" s="5">
        <v>3452.3910000000001</v>
      </c>
    </row>
    <row r="58" spans="5:18" x14ac:dyDescent="0.25">
      <c r="J58" s="3" t="s">
        <v>3</v>
      </c>
      <c r="K58" s="3" t="s">
        <v>5</v>
      </c>
      <c r="L58" s="3" t="s">
        <v>27</v>
      </c>
      <c r="M58" s="5">
        <v>90314.053</v>
      </c>
    </row>
    <row r="59" spans="5:18" x14ac:dyDescent="0.25">
      <c r="J59" s="3" t="s">
        <v>3</v>
      </c>
      <c r="K59" s="3" t="s">
        <v>5</v>
      </c>
      <c r="L59" s="3" t="s">
        <v>28</v>
      </c>
      <c r="M59" s="5">
        <v>2662.7040000000002</v>
      </c>
    </row>
    <row r="60" spans="5:18" x14ac:dyDescent="0.25">
      <c r="J60" s="3" t="s">
        <v>3</v>
      </c>
      <c r="K60" s="3" t="s">
        <v>5</v>
      </c>
      <c r="L60" s="3" t="s">
        <v>29</v>
      </c>
      <c r="M60" s="5">
        <v>64423.029000000002</v>
      </c>
    </row>
    <row r="61" spans="5:18" x14ac:dyDescent="0.25">
      <c r="J61" s="3" t="s">
        <v>3</v>
      </c>
      <c r="K61" s="3" t="s">
        <v>5</v>
      </c>
      <c r="L61" s="3" t="s">
        <v>30</v>
      </c>
      <c r="M61" s="5">
        <v>10148.16</v>
      </c>
    </row>
    <row r="62" spans="5:18" x14ac:dyDescent="0.25">
      <c r="J62" s="3" t="s">
        <v>3</v>
      </c>
      <c r="K62" s="3" t="s">
        <v>5</v>
      </c>
      <c r="L62" s="3" t="s">
        <v>31</v>
      </c>
      <c r="M62" s="5">
        <v>2966.902</v>
      </c>
    </row>
    <row r="63" spans="5:18" x14ac:dyDescent="0.25">
      <c r="J63" s="11" t="s">
        <v>3</v>
      </c>
      <c r="K63" s="11" t="s">
        <v>5</v>
      </c>
      <c r="L63" s="11"/>
      <c r="M63" s="12">
        <v>175011.33100000001</v>
      </c>
    </row>
    <row r="64" spans="5:18" x14ac:dyDescent="0.25">
      <c r="J64" s="6" t="s">
        <v>22</v>
      </c>
      <c r="K64" s="6"/>
      <c r="L64" s="6"/>
      <c r="M64" s="7">
        <f>M63+M55+M46+M37+M28+M19+M10</f>
        <v>1114253.5090000001</v>
      </c>
    </row>
  </sheetData>
  <pageMargins left="0.75" right="0.75" top="1" bottom="1" header="0.5" footer="0.5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449 - 449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GAD-POV$</dc:creator>
  <cp:lastModifiedBy>Slava Kriger</cp:lastModifiedBy>
  <dcterms:created xsi:type="dcterms:W3CDTF">2026-01-11T05:21:46Z</dcterms:created>
  <dcterms:modified xsi:type="dcterms:W3CDTF">2026-01-14T05:13:59Z</dcterms:modified>
</cp:coreProperties>
</file>