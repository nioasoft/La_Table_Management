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פט ויני\פסטה לה קאזה\"/>
    </mc:Choice>
  </mc:AlternateContent>
  <xr:revisionPtr revIDLastSave="0" documentId="13_ncr:1_{2F70A574-09A1-471E-B7B7-7A0A44FD7AE3}" xr6:coauthVersionLast="47" xr6:coauthVersionMax="47" xr10:uidLastSave="{00000000-0000-0000-0000-000000000000}"/>
  <bookViews>
    <workbookView xWindow="28680" yWindow="-120" windowWidth="29040" windowHeight="15840" activeTab="6" xr2:uid="{00000000-000D-0000-FFFF-FFFF00000000}"/>
  </bookViews>
  <sheets>
    <sheet name="כרמיאל" sheetId="1" r:id="rId1"/>
    <sheet name="נתניה" sheetId="2" r:id="rId2"/>
    <sheet name="קרית אתא" sheetId="3" r:id="rId3"/>
    <sheet name="חדרה" sheetId="4" r:id="rId4"/>
    <sheet name="יהוד" sheetId="5" r:id="rId5"/>
    <sheet name="עזריאלי" sheetId="6" r:id="rId6"/>
    <sheet name="ויני רגבה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7" l="1"/>
  <c r="F16" i="6"/>
  <c r="F18" i="5"/>
  <c r="F15" i="4"/>
  <c r="F15" i="3"/>
  <c r="F16" i="2"/>
  <c r="F14" i="1"/>
</calcChain>
</file>

<file path=xl/sharedStrings.xml><?xml version="1.0" encoding="utf-8"?>
<sst xmlns="http://schemas.openxmlformats.org/spreadsheetml/2006/main" count="341" uniqueCount="116">
  <si>
    <t>סה״כ</t>
  </si>
  <si>
    <t>69214</t>
  </si>
  <si>
    <t>ויני כרמיאל בע"מ</t>
  </si>
  <si>
    <t>5535</t>
  </si>
  <si>
    <t>69031</t>
  </si>
  <si>
    <t>68807</t>
  </si>
  <si>
    <t>68595</t>
  </si>
  <si>
    <t>68372</t>
  </si>
  <si>
    <t>68124</t>
  </si>
  <si>
    <t>67922</t>
  </si>
  <si>
    <t>67706</t>
  </si>
  <si>
    <t>67500</t>
  </si>
  <si>
    <t>67278</t>
  </si>
  <si>
    <t>67128</t>
  </si>
  <si>
    <t>66867</t>
  </si>
  <si>
    <t>סהכ לפני מעמ</t>
  </si>
  <si>
    <t>תאריך פעולה</t>
  </si>
  <si>
    <t>מספר הזמנה</t>
  </si>
  <si>
    <t>שם ספק</t>
  </si>
  <si>
    <t>מספר תעודה</t>
  </si>
  <si>
    <t>מספר ספק</t>
  </si>
  <si>
    <t>5542</t>
  </si>
  <si>
    <t>פאט ויני נתניה - (סידיוס בע"מ)</t>
  </si>
  <si>
    <t>66657</t>
  </si>
  <si>
    <t>66847</t>
  </si>
  <si>
    <t>99060900</t>
  </si>
  <si>
    <t>67101</t>
  </si>
  <si>
    <t>67326</t>
  </si>
  <si>
    <t>67565</t>
  </si>
  <si>
    <t>67739</t>
  </si>
  <si>
    <t>67958</t>
  </si>
  <si>
    <t>68118</t>
  </si>
  <si>
    <t>68300</t>
  </si>
  <si>
    <t>68570</t>
  </si>
  <si>
    <t>68786</t>
  </si>
  <si>
    <t>68992</t>
  </si>
  <si>
    <t>69194</t>
  </si>
  <si>
    <t>5543</t>
  </si>
  <si>
    <t>פאט ויני קריית אתא (מיאמוטו בע"מ)</t>
  </si>
  <si>
    <t>66628</t>
  </si>
  <si>
    <t>66634</t>
  </si>
  <si>
    <t>66828</t>
  </si>
  <si>
    <t>67122</t>
  </si>
  <si>
    <t>67351</t>
  </si>
  <si>
    <t>67566</t>
  </si>
  <si>
    <t>67769</t>
  </si>
  <si>
    <t>67978</t>
  </si>
  <si>
    <t>68178</t>
  </si>
  <si>
    <t>68608</t>
  </si>
  <si>
    <t>68803</t>
  </si>
  <si>
    <t>69016</t>
  </si>
  <si>
    <t>69212</t>
  </si>
  <si>
    <t>5612</t>
  </si>
  <si>
    <t>ויני חדרה מול חוף ויליג בע"מ</t>
  </si>
  <si>
    <t>66768</t>
  </si>
  <si>
    <t>67113</t>
  </si>
  <si>
    <t>67336</t>
  </si>
  <si>
    <t>67550</t>
  </si>
  <si>
    <t>67753</t>
  </si>
  <si>
    <t>67965</t>
  </si>
  <si>
    <t>68196</t>
  </si>
  <si>
    <t>68369</t>
  </si>
  <si>
    <t>68594</t>
  </si>
  <si>
    <t>0</t>
  </si>
  <si>
    <t>68799</t>
  </si>
  <si>
    <t>68995</t>
  </si>
  <si>
    <t>69211</t>
  </si>
  <si>
    <t>5562</t>
  </si>
  <si>
    <t>טמפר הסעדה בע"מ- פט ויני יהוד</t>
  </si>
  <si>
    <t>66669</t>
  </si>
  <si>
    <t>66803</t>
  </si>
  <si>
    <t>66899</t>
  </si>
  <si>
    <t>66998</t>
  </si>
  <si>
    <t>67173</t>
  </si>
  <si>
    <t>67404</t>
  </si>
  <si>
    <t>67604</t>
  </si>
  <si>
    <t>67811</t>
  </si>
  <si>
    <t>68031</t>
  </si>
  <si>
    <t>68181</t>
  </si>
  <si>
    <t>68418</t>
  </si>
  <si>
    <t>68647</t>
  </si>
  <si>
    <t>68847</t>
  </si>
  <si>
    <t>68957</t>
  </si>
  <si>
    <t>69075</t>
  </si>
  <si>
    <t>69263</t>
  </si>
  <si>
    <t>5521</t>
  </si>
  <si>
    <t>פט ויני עזריאלי בע"מ</t>
  </si>
  <si>
    <t>66613</t>
  </si>
  <si>
    <t>66774</t>
  </si>
  <si>
    <t>67089</t>
  </si>
  <si>
    <t>67330</t>
  </si>
  <si>
    <t>67540</t>
  </si>
  <si>
    <t>67745</t>
  </si>
  <si>
    <t>67979</t>
  </si>
  <si>
    <t>68195</t>
  </si>
  <si>
    <t>68368</t>
  </si>
  <si>
    <t>68603</t>
  </si>
  <si>
    <t>68790</t>
  </si>
  <si>
    <t>69011</t>
  </si>
  <si>
    <t>69210</t>
  </si>
  <si>
    <t>5529</t>
  </si>
  <si>
    <t>פט ויני רגבה</t>
  </si>
  <si>
    <t>66650</t>
  </si>
  <si>
    <t>66747</t>
  </si>
  <si>
    <t>67026</t>
  </si>
  <si>
    <t>67337</t>
  </si>
  <si>
    <t>רגבה</t>
  </si>
  <si>
    <t>67505</t>
  </si>
  <si>
    <t>67701</t>
  </si>
  <si>
    <t>67926</t>
  </si>
  <si>
    <t>68132</t>
  </si>
  <si>
    <t>68330</t>
  </si>
  <si>
    <t>68520</t>
  </si>
  <si>
    <t>68737</t>
  </si>
  <si>
    <t>68962</t>
  </si>
  <si>
    <t>69163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</si>
</sst>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₪"/>
  </numFmts>
  <fonts count="5" x14ac:knownFonts="1">
    <font>
      <sz val="11"/>
      <color theme="1"/>
      <name val="Arial"/>
      <family val="2"/>
      <scheme val="minor"/>
    </font>
    <font>
      <b/>
      <sz val="10"/>
      <name val="MS Sans Serif"/>
      <charset val="177"/>
    </font>
    <font>
      <b/>
      <sz val="10"/>
      <name val="Segoe UI"/>
      <family val="2"/>
    </font>
    <font>
      <sz val="10"/>
      <name val="Segoe U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1" xfId="0" quotePrefix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rightToLeft="1" workbookViewId="0">
      <selection sqref="A1:XFD1048576"/>
    </sheetView>
  </sheetViews>
  <sheetFormatPr defaultRowHeight="12.75" x14ac:dyDescent="0.2"/>
  <cols>
    <col min="1" max="1" width="13" bestFit="1" customWidth="1"/>
    <col min="2" max="2" width="15.25" bestFit="1" customWidth="1"/>
    <col min="3" max="3" width="13.25" bestFit="1" customWidth="1"/>
    <col min="4" max="4" width="14.75" bestFit="1" customWidth="1"/>
    <col min="5" max="5" width="16.125" bestFit="1" customWidth="1"/>
    <col min="6" max="6" width="16.5" bestFit="1" customWidth="1"/>
  </cols>
  <sheetData>
    <row r="1" spans="1:6" s="8" customFormat="1" ht="14.25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ht="14.25" x14ac:dyDescent="0.2">
      <c r="A2" s="7" t="s">
        <v>3</v>
      </c>
      <c r="B2" s="7">
        <v>80416</v>
      </c>
      <c r="C2" s="7" t="s">
        <v>2</v>
      </c>
      <c r="D2" s="7" t="s">
        <v>14</v>
      </c>
      <c r="E2" s="6">
        <v>45943</v>
      </c>
      <c r="F2" s="5">
        <v>1743.18</v>
      </c>
    </row>
    <row r="3" spans="1:6" s="4" customFormat="1" ht="14.25" x14ac:dyDescent="0.2">
      <c r="A3" s="7" t="s">
        <v>3</v>
      </c>
      <c r="B3" s="7">
        <v>80650</v>
      </c>
      <c r="C3" s="7" t="s">
        <v>2</v>
      </c>
      <c r="D3" s="7" t="s">
        <v>13</v>
      </c>
      <c r="E3" s="6">
        <v>45951</v>
      </c>
      <c r="F3" s="5">
        <v>4121.1499999999996</v>
      </c>
    </row>
    <row r="4" spans="1:6" s="4" customFormat="1" ht="14.25" x14ac:dyDescent="0.2">
      <c r="A4" s="7" t="s">
        <v>3</v>
      </c>
      <c r="B4" s="7">
        <v>80793</v>
      </c>
      <c r="C4" s="7" t="s">
        <v>2</v>
      </c>
      <c r="D4" s="7" t="s">
        <v>12</v>
      </c>
      <c r="E4" s="6">
        <v>45956</v>
      </c>
      <c r="F4" s="5">
        <v>1660.2</v>
      </c>
    </row>
    <row r="5" spans="1:6" s="4" customFormat="1" ht="14.25" x14ac:dyDescent="0.2">
      <c r="A5" s="7" t="s">
        <v>3</v>
      </c>
      <c r="B5" s="7">
        <v>81028</v>
      </c>
      <c r="C5" s="7" t="s">
        <v>2</v>
      </c>
      <c r="D5" s="7" t="s">
        <v>11</v>
      </c>
      <c r="E5" s="6">
        <v>45964</v>
      </c>
      <c r="F5" s="5">
        <v>2366.0500000000002</v>
      </c>
    </row>
    <row r="6" spans="1:6" s="4" customFormat="1" ht="14.25" x14ac:dyDescent="0.2">
      <c r="A6" s="7" t="s">
        <v>3</v>
      </c>
      <c r="B6" s="7">
        <v>81216</v>
      </c>
      <c r="C6" s="7" t="s">
        <v>2</v>
      </c>
      <c r="D6" s="7" t="s">
        <v>10</v>
      </c>
      <c r="E6" s="6">
        <v>45971</v>
      </c>
      <c r="F6" s="5">
        <v>4198.25</v>
      </c>
    </row>
    <row r="7" spans="1:6" s="4" customFormat="1" ht="14.25" x14ac:dyDescent="0.2">
      <c r="A7" s="7" t="s">
        <v>3</v>
      </c>
      <c r="B7" s="7">
        <v>81403</v>
      </c>
      <c r="C7" s="7" t="s">
        <v>2</v>
      </c>
      <c r="D7" s="7" t="s">
        <v>9</v>
      </c>
      <c r="E7" s="6">
        <v>45977</v>
      </c>
      <c r="F7" s="5">
        <v>4137.34</v>
      </c>
    </row>
    <row r="8" spans="1:6" s="4" customFormat="1" ht="14.25" x14ac:dyDescent="0.2">
      <c r="A8" s="7" t="s">
        <v>3</v>
      </c>
      <c r="B8" s="7">
        <v>81599</v>
      </c>
      <c r="C8" s="7" t="s">
        <v>2</v>
      </c>
      <c r="D8" s="7" t="s">
        <v>8</v>
      </c>
      <c r="E8" s="6">
        <v>45984</v>
      </c>
      <c r="F8" s="5">
        <v>3394.85</v>
      </c>
    </row>
    <row r="9" spans="1:6" s="4" customFormat="1" ht="14.25" x14ac:dyDescent="0.2">
      <c r="A9" s="7" t="s">
        <v>3</v>
      </c>
      <c r="B9" s="7">
        <v>81847</v>
      </c>
      <c r="C9" s="7" t="s">
        <v>2</v>
      </c>
      <c r="D9" s="7" t="s">
        <v>7</v>
      </c>
      <c r="E9" s="6">
        <v>45992</v>
      </c>
      <c r="F9" s="5">
        <v>3595.8</v>
      </c>
    </row>
    <row r="10" spans="1:6" s="4" customFormat="1" ht="14.25" x14ac:dyDescent="0.2">
      <c r="A10" s="7" t="s">
        <v>3</v>
      </c>
      <c r="B10" s="7">
        <v>82028</v>
      </c>
      <c r="C10" s="7" t="s">
        <v>2</v>
      </c>
      <c r="D10" s="7" t="s">
        <v>6</v>
      </c>
      <c r="E10" s="6">
        <v>45999</v>
      </c>
      <c r="F10" s="5">
        <v>2338.96</v>
      </c>
    </row>
    <row r="11" spans="1:6" s="4" customFormat="1" ht="14.25" x14ac:dyDescent="0.2">
      <c r="A11" s="7" t="s">
        <v>3</v>
      </c>
      <c r="B11" s="7">
        <v>82256</v>
      </c>
      <c r="C11" s="7" t="s">
        <v>2</v>
      </c>
      <c r="D11" s="7" t="s">
        <v>5</v>
      </c>
      <c r="E11" s="6">
        <v>46006</v>
      </c>
      <c r="F11" s="5">
        <v>3967.78</v>
      </c>
    </row>
    <row r="12" spans="1:6" s="4" customFormat="1" ht="14.25" x14ac:dyDescent="0.2">
      <c r="A12" s="7" t="s">
        <v>3</v>
      </c>
      <c r="B12" s="7">
        <v>82492</v>
      </c>
      <c r="C12" s="7" t="s">
        <v>2</v>
      </c>
      <c r="D12" s="7" t="s">
        <v>4</v>
      </c>
      <c r="E12" s="6">
        <v>46014</v>
      </c>
      <c r="F12" s="5">
        <v>4220.37</v>
      </c>
    </row>
    <row r="13" spans="1:6" s="4" customFormat="1" ht="14.25" x14ac:dyDescent="0.2">
      <c r="A13" s="7" t="s">
        <v>3</v>
      </c>
      <c r="B13" s="7">
        <v>82630</v>
      </c>
      <c r="C13" s="7" t="s">
        <v>2</v>
      </c>
      <c r="D13" s="7" t="s">
        <v>1</v>
      </c>
      <c r="E13" s="6">
        <v>46020</v>
      </c>
      <c r="F13" s="5">
        <v>4117.8100000000004</v>
      </c>
    </row>
    <row r="14" spans="1:6" s="1" customFormat="1" ht="14.25" x14ac:dyDescent="0.25">
      <c r="A14" s="3" t="s">
        <v>0</v>
      </c>
      <c r="B14" s="3"/>
      <c r="C14" s="3"/>
      <c r="D14" s="3"/>
      <c r="E14" s="3"/>
      <c r="F14" s="2">
        <f>SUM($F$2:$F$13)</f>
        <v>39861.739999999991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29D4-FE9C-44AF-892E-BACCD7CE5969}">
  <dimension ref="A1:F16"/>
  <sheetViews>
    <sheetView rightToLeft="1" workbookViewId="0">
      <selection activeCell="B35" sqref="B35"/>
    </sheetView>
  </sheetViews>
  <sheetFormatPr defaultRowHeight="14.25" x14ac:dyDescent="0.2"/>
  <cols>
    <col min="1" max="1" width="13" bestFit="1" customWidth="1"/>
    <col min="2" max="2" width="15.25" bestFit="1" customWidth="1"/>
    <col min="3" max="3" width="22.625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22.625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22.625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22.625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22.625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22.625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22.625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22.625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22.625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22.625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22.625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22.625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22.625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22.625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22.625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22.625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22.625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22.625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22.625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22.625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22.625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22.625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22.625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22.625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22.625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22.625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22.625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22.625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22.625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22.625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22.625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22.625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22.625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22.625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22.625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22.625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22.625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22.625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22.625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22.625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22.625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22.625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22.625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22.625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22.625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22.625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22.625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22.625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22.625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22.625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22.625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22.625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22.625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22.625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22.625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22.625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22.625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22.625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22.625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22.625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22.625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22.625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22.625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22.625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21</v>
      </c>
      <c r="B2" s="7">
        <v>80224</v>
      </c>
      <c r="C2" s="7" t="s">
        <v>22</v>
      </c>
      <c r="D2" s="7" t="s">
        <v>23</v>
      </c>
      <c r="E2" s="6">
        <v>45936</v>
      </c>
      <c r="F2" s="5">
        <v>6995.83</v>
      </c>
    </row>
    <row r="3" spans="1:6" s="4" customFormat="1" x14ac:dyDescent="0.2">
      <c r="A3" s="7" t="s">
        <v>21</v>
      </c>
      <c r="B3" s="7">
        <v>80482</v>
      </c>
      <c r="C3" s="7" t="s">
        <v>22</v>
      </c>
      <c r="D3" s="7" t="s">
        <v>24</v>
      </c>
      <c r="E3" s="6">
        <v>45946</v>
      </c>
      <c r="F3" s="5">
        <v>4515.3100000000004</v>
      </c>
    </row>
    <row r="4" spans="1:6" s="4" customFormat="1" x14ac:dyDescent="0.2">
      <c r="A4" s="7" t="s">
        <v>21</v>
      </c>
      <c r="B4" s="7">
        <v>80536</v>
      </c>
      <c r="C4" s="7" t="s">
        <v>22</v>
      </c>
      <c r="D4" s="7" t="s">
        <v>25</v>
      </c>
      <c r="E4" s="6">
        <v>45949</v>
      </c>
      <c r="F4" s="5">
        <v>5241.57</v>
      </c>
    </row>
    <row r="5" spans="1:6" s="4" customFormat="1" x14ac:dyDescent="0.2">
      <c r="A5" s="7" t="s">
        <v>21</v>
      </c>
      <c r="B5" s="7">
        <v>80675</v>
      </c>
      <c r="C5" s="7" t="s">
        <v>22</v>
      </c>
      <c r="D5" s="7" t="s">
        <v>26</v>
      </c>
      <c r="E5" s="6">
        <v>45951</v>
      </c>
      <c r="F5" s="5">
        <v>3543.22</v>
      </c>
    </row>
    <row r="6" spans="1:6" s="4" customFormat="1" x14ac:dyDescent="0.2">
      <c r="A6" s="7" t="s">
        <v>21</v>
      </c>
      <c r="B6" s="7">
        <v>80901</v>
      </c>
      <c r="C6" s="7" t="s">
        <v>22</v>
      </c>
      <c r="D6" s="7" t="s">
        <v>27</v>
      </c>
      <c r="E6" s="6">
        <v>45958</v>
      </c>
      <c r="F6" s="5">
        <v>3560.14</v>
      </c>
    </row>
    <row r="7" spans="1:6" s="4" customFormat="1" x14ac:dyDescent="0.2">
      <c r="A7" s="7" t="s">
        <v>21</v>
      </c>
      <c r="B7" s="7">
        <v>81064</v>
      </c>
      <c r="C7" s="7" t="s">
        <v>22</v>
      </c>
      <c r="D7" s="7" t="s">
        <v>28</v>
      </c>
      <c r="E7" s="6">
        <v>45965</v>
      </c>
      <c r="F7" s="5">
        <v>2050.86</v>
      </c>
    </row>
    <row r="8" spans="1:6" s="4" customFormat="1" x14ac:dyDescent="0.2">
      <c r="A8" s="7" t="s">
        <v>21</v>
      </c>
      <c r="B8" s="7">
        <v>81265</v>
      </c>
      <c r="C8" s="7" t="s">
        <v>22</v>
      </c>
      <c r="D8" s="7" t="s">
        <v>29</v>
      </c>
      <c r="E8" s="6">
        <v>45972</v>
      </c>
      <c r="F8" s="5">
        <v>2987.26</v>
      </c>
    </row>
    <row r="9" spans="1:6" s="4" customFormat="1" x14ac:dyDescent="0.2">
      <c r="A9" s="7" t="s">
        <v>21</v>
      </c>
      <c r="B9" s="7">
        <v>81427</v>
      </c>
      <c r="C9" s="7" t="s">
        <v>22</v>
      </c>
      <c r="D9" s="7" t="s">
        <v>30</v>
      </c>
      <c r="E9" s="6">
        <v>45978</v>
      </c>
      <c r="F9" s="5">
        <v>4988.12</v>
      </c>
    </row>
    <row r="10" spans="1:6" s="4" customFormat="1" x14ac:dyDescent="0.2">
      <c r="A10" s="7" t="s">
        <v>21</v>
      </c>
      <c r="B10" s="7">
        <v>81592</v>
      </c>
      <c r="C10" s="7" t="s">
        <v>22</v>
      </c>
      <c r="D10" s="7" t="s">
        <v>31</v>
      </c>
      <c r="E10" s="6">
        <v>45984</v>
      </c>
      <c r="F10" s="5">
        <v>5826.33</v>
      </c>
    </row>
    <row r="11" spans="1:6" s="4" customFormat="1" x14ac:dyDescent="0.2">
      <c r="A11" s="7" t="s">
        <v>21</v>
      </c>
      <c r="B11" s="7">
        <v>81768</v>
      </c>
      <c r="C11" s="7" t="s">
        <v>22</v>
      </c>
      <c r="D11" s="7" t="s">
        <v>32</v>
      </c>
      <c r="E11" s="6">
        <v>45991</v>
      </c>
      <c r="F11" s="5">
        <v>5173.76</v>
      </c>
    </row>
    <row r="12" spans="1:6" s="4" customFormat="1" x14ac:dyDescent="0.2">
      <c r="A12" s="7" t="s">
        <v>21</v>
      </c>
      <c r="B12" s="7">
        <v>82052</v>
      </c>
      <c r="C12" s="7" t="s">
        <v>22</v>
      </c>
      <c r="D12" s="7" t="s">
        <v>33</v>
      </c>
      <c r="E12" s="6">
        <v>45999</v>
      </c>
      <c r="F12" s="5">
        <v>3698.28</v>
      </c>
    </row>
    <row r="13" spans="1:6" s="4" customFormat="1" x14ac:dyDescent="0.2">
      <c r="A13" s="7" t="s">
        <v>21</v>
      </c>
      <c r="B13" s="7">
        <v>82235</v>
      </c>
      <c r="C13" s="7" t="s">
        <v>22</v>
      </c>
      <c r="D13" s="7" t="s">
        <v>34</v>
      </c>
      <c r="E13" s="6">
        <v>46006</v>
      </c>
      <c r="F13" s="5">
        <v>4687.24</v>
      </c>
    </row>
    <row r="14" spans="1:6" s="4" customFormat="1" x14ac:dyDescent="0.2">
      <c r="A14" s="7" t="s">
        <v>21</v>
      </c>
      <c r="B14" s="7">
        <v>82419</v>
      </c>
      <c r="C14" s="7" t="s">
        <v>22</v>
      </c>
      <c r="D14" s="7" t="s">
        <v>35</v>
      </c>
      <c r="E14" s="6">
        <v>46013</v>
      </c>
      <c r="F14" s="5">
        <v>3746.62</v>
      </c>
    </row>
    <row r="15" spans="1:6" s="4" customFormat="1" x14ac:dyDescent="0.2">
      <c r="A15" s="7" t="s">
        <v>21</v>
      </c>
      <c r="B15" s="7">
        <v>82613</v>
      </c>
      <c r="C15" s="7" t="s">
        <v>22</v>
      </c>
      <c r="D15" s="7" t="s">
        <v>36</v>
      </c>
      <c r="E15" s="6">
        <v>46020</v>
      </c>
      <c r="F15" s="5">
        <v>4938.9799999999996</v>
      </c>
    </row>
    <row r="16" spans="1:6" s="1" customFormat="1" x14ac:dyDescent="0.25">
      <c r="A16" s="3" t="s">
        <v>0</v>
      </c>
      <c r="B16" s="3"/>
      <c r="C16" s="3"/>
      <c r="D16" s="3"/>
      <c r="E16" s="3"/>
      <c r="F16" s="2">
        <f>SUM($F$2:$F$15)</f>
        <v>61953.520000000004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D61E-D977-44DA-A7F9-089F396F6EF8}">
  <dimension ref="A1:F15"/>
  <sheetViews>
    <sheetView rightToLeft="1" workbookViewId="0">
      <selection activeCell="C25" sqref="C25"/>
    </sheetView>
  </sheetViews>
  <sheetFormatPr defaultRowHeight="14.25" x14ac:dyDescent="0.2"/>
  <cols>
    <col min="1" max="1" width="13" bestFit="1" customWidth="1"/>
    <col min="2" max="2" width="15.25" bestFit="1" customWidth="1"/>
    <col min="3" max="3" width="26.5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26.5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26.5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26.5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26.5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26.5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26.5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26.5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26.5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26.5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26.5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26.5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26.5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26.5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26.5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26.5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26.5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26.5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26.5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26.5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26.5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26.5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26.5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26.5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26.5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26.5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26.5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26.5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26.5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26.5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26.5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26.5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26.5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26.5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26.5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26.5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26.5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26.5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26.5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26.5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26.5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26.5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26.5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26.5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26.5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26.5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26.5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26.5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26.5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26.5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26.5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26.5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26.5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26.5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26.5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26.5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26.5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26.5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26.5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26.5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26.5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26.5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26.5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26.5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37</v>
      </c>
      <c r="B2" s="7">
        <v>80157</v>
      </c>
      <c r="C2" s="7" t="s">
        <v>38</v>
      </c>
      <c r="D2" s="7" t="s">
        <v>39</v>
      </c>
      <c r="E2" s="6">
        <v>45933</v>
      </c>
      <c r="F2" s="5">
        <v>7580.56</v>
      </c>
    </row>
    <row r="3" spans="1:6" s="4" customFormat="1" x14ac:dyDescent="0.2">
      <c r="A3" s="7" t="s">
        <v>37</v>
      </c>
      <c r="B3" s="7">
        <v>80182</v>
      </c>
      <c r="C3" s="7" t="s">
        <v>38</v>
      </c>
      <c r="D3" s="7" t="s">
        <v>40</v>
      </c>
      <c r="E3" s="6">
        <v>45935</v>
      </c>
      <c r="F3" s="5">
        <v>7648.25</v>
      </c>
    </row>
    <row r="4" spans="1:6" s="4" customFormat="1" x14ac:dyDescent="0.2">
      <c r="A4" s="7" t="s">
        <v>37</v>
      </c>
      <c r="B4" s="7">
        <v>80360</v>
      </c>
      <c r="C4" s="7" t="s">
        <v>38</v>
      </c>
      <c r="D4" s="7" t="s">
        <v>41</v>
      </c>
      <c r="E4" s="6">
        <v>45942</v>
      </c>
      <c r="F4" s="5">
        <v>2319.4699999999998</v>
      </c>
    </row>
    <row r="5" spans="1:6" s="4" customFormat="1" x14ac:dyDescent="0.2">
      <c r="A5" s="7" t="s">
        <v>37</v>
      </c>
      <c r="B5" s="7">
        <v>80627</v>
      </c>
      <c r="C5" s="7" t="s">
        <v>38</v>
      </c>
      <c r="D5" s="7" t="s">
        <v>42</v>
      </c>
      <c r="E5" s="6">
        <v>45951</v>
      </c>
      <c r="F5" s="5">
        <v>5195.83</v>
      </c>
    </row>
    <row r="6" spans="1:6" s="4" customFormat="1" x14ac:dyDescent="0.2">
      <c r="A6" s="7" t="s">
        <v>37</v>
      </c>
      <c r="B6" s="7">
        <v>80853</v>
      </c>
      <c r="C6" s="7" t="s">
        <v>38</v>
      </c>
      <c r="D6" s="7" t="s">
        <v>43</v>
      </c>
      <c r="E6" s="6">
        <v>45958</v>
      </c>
      <c r="F6" s="5">
        <v>1865.26</v>
      </c>
    </row>
    <row r="7" spans="1:6" s="4" customFormat="1" x14ac:dyDescent="0.2">
      <c r="A7" s="7" t="s">
        <v>37</v>
      </c>
      <c r="B7" s="7">
        <v>81065</v>
      </c>
      <c r="C7" s="7" t="s">
        <v>38</v>
      </c>
      <c r="D7" s="7" t="s">
        <v>44</v>
      </c>
      <c r="E7" s="6">
        <v>45965</v>
      </c>
      <c r="F7" s="5">
        <v>3919.55</v>
      </c>
    </row>
    <row r="8" spans="1:6" s="4" customFormat="1" x14ac:dyDescent="0.2">
      <c r="A8" s="7" t="s">
        <v>37</v>
      </c>
      <c r="B8" s="7">
        <v>81260</v>
      </c>
      <c r="C8" s="7" t="s">
        <v>38</v>
      </c>
      <c r="D8" s="7" t="s">
        <v>45</v>
      </c>
      <c r="E8" s="6">
        <v>45972</v>
      </c>
      <c r="F8" s="5">
        <v>4100.79</v>
      </c>
    </row>
    <row r="9" spans="1:6" s="4" customFormat="1" x14ac:dyDescent="0.2">
      <c r="A9" s="7" t="s">
        <v>37</v>
      </c>
      <c r="B9" s="7">
        <v>81455</v>
      </c>
      <c r="C9" s="7" t="s">
        <v>38</v>
      </c>
      <c r="D9" s="7" t="s">
        <v>46</v>
      </c>
      <c r="E9" s="6">
        <v>45979</v>
      </c>
      <c r="F9" s="5">
        <v>5911.83</v>
      </c>
    </row>
    <row r="10" spans="1:6" s="4" customFormat="1" x14ac:dyDescent="0.2">
      <c r="A10" s="7" t="s">
        <v>37</v>
      </c>
      <c r="B10" s="7">
        <v>81664</v>
      </c>
      <c r="C10" s="7" t="s">
        <v>38</v>
      </c>
      <c r="D10" s="7" t="s">
        <v>47</v>
      </c>
      <c r="E10" s="6">
        <v>45986</v>
      </c>
      <c r="F10" s="5">
        <v>11924.62</v>
      </c>
    </row>
    <row r="11" spans="1:6" s="4" customFormat="1" x14ac:dyDescent="0.2">
      <c r="A11" s="7" t="s">
        <v>37</v>
      </c>
      <c r="B11" s="7">
        <v>82046</v>
      </c>
      <c r="C11" s="7" t="s">
        <v>38</v>
      </c>
      <c r="D11" s="7" t="s">
        <v>48</v>
      </c>
      <c r="E11" s="6">
        <v>45999</v>
      </c>
      <c r="F11" s="5">
        <v>5910.96</v>
      </c>
    </row>
    <row r="12" spans="1:6" s="4" customFormat="1" x14ac:dyDescent="0.2">
      <c r="A12" s="7" t="s">
        <v>37</v>
      </c>
      <c r="B12" s="7">
        <v>82251</v>
      </c>
      <c r="C12" s="7" t="s">
        <v>38</v>
      </c>
      <c r="D12" s="7" t="s">
        <v>49</v>
      </c>
      <c r="E12" s="6">
        <v>46006</v>
      </c>
      <c r="F12" s="5">
        <v>3520.33</v>
      </c>
    </row>
    <row r="13" spans="1:6" s="4" customFormat="1" x14ac:dyDescent="0.2">
      <c r="A13" s="7" t="s">
        <v>37</v>
      </c>
      <c r="B13" s="7">
        <v>82446</v>
      </c>
      <c r="C13" s="7" t="s">
        <v>38</v>
      </c>
      <c r="D13" s="7" t="s">
        <v>50</v>
      </c>
      <c r="E13" s="6">
        <v>46013</v>
      </c>
      <c r="F13" s="5">
        <v>5869.52</v>
      </c>
    </row>
    <row r="14" spans="1:6" s="4" customFormat="1" x14ac:dyDescent="0.2">
      <c r="A14" s="7" t="s">
        <v>37</v>
      </c>
      <c r="B14" s="7">
        <v>82628</v>
      </c>
      <c r="C14" s="7" t="s">
        <v>38</v>
      </c>
      <c r="D14" s="7" t="s">
        <v>51</v>
      </c>
      <c r="E14" s="6">
        <v>46020</v>
      </c>
      <c r="F14" s="5">
        <v>5993.17</v>
      </c>
    </row>
    <row r="15" spans="1:6" s="1" customFormat="1" x14ac:dyDescent="0.25">
      <c r="A15" s="3" t="s">
        <v>0</v>
      </c>
      <c r="B15" s="3"/>
      <c r="C15" s="3"/>
      <c r="D15" s="3"/>
      <c r="E15" s="3"/>
      <c r="F15" s="2">
        <f>SUM($F$2:$F$14)</f>
        <v>71760.14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6FEE-7877-4A7E-9772-02EAD03C0DB5}">
  <dimension ref="A1:F15"/>
  <sheetViews>
    <sheetView rightToLeft="1" workbookViewId="0">
      <selection activeCell="C24" sqref="C24"/>
    </sheetView>
  </sheetViews>
  <sheetFormatPr defaultRowHeight="14.25" x14ac:dyDescent="0.2"/>
  <cols>
    <col min="1" max="1" width="13" bestFit="1" customWidth="1"/>
    <col min="2" max="2" width="15.25" bestFit="1" customWidth="1"/>
    <col min="3" max="3" width="22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22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22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22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22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22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22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22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22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22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22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22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22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22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22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22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22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22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22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22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22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22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22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22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22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22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22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22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22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22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22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22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22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22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22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22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22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22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22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22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22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22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22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22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22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22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22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22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22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22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22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22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22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22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22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22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22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22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22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22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22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22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22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22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52</v>
      </c>
      <c r="B2" s="7">
        <v>80324</v>
      </c>
      <c r="C2" s="7" t="s">
        <v>53</v>
      </c>
      <c r="D2" s="7" t="s">
        <v>54</v>
      </c>
      <c r="E2" s="6">
        <v>45939</v>
      </c>
      <c r="F2" s="5">
        <v>3826.29</v>
      </c>
    </row>
    <row r="3" spans="1:6" s="4" customFormat="1" x14ac:dyDescent="0.2">
      <c r="A3" s="7" t="s">
        <v>52</v>
      </c>
      <c r="B3" s="7">
        <v>80637</v>
      </c>
      <c r="C3" s="7" t="s">
        <v>53</v>
      </c>
      <c r="D3" s="7" t="s">
        <v>55</v>
      </c>
      <c r="E3" s="6">
        <v>45951</v>
      </c>
      <c r="F3" s="5">
        <v>4590.6499999999996</v>
      </c>
    </row>
    <row r="4" spans="1:6" s="4" customFormat="1" x14ac:dyDescent="0.2">
      <c r="A4" s="7" t="s">
        <v>52</v>
      </c>
      <c r="B4" s="7">
        <v>80852</v>
      </c>
      <c r="C4" s="7" t="s">
        <v>53</v>
      </c>
      <c r="D4" s="7" t="s">
        <v>56</v>
      </c>
      <c r="E4" s="6">
        <v>45958</v>
      </c>
      <c r="F4" s="5">
        <v>1761.08</v>
      </c>
    </row>
    <row r="5" spans="1:6" s="4" customFormat="1" x14ac:dyDescent="0.2">
      <c r="A5" s="7" t="s">
        <v>52</v>
      </c>
      <c r="B5" s="7">
        <v>81059</v>
      </c>
      <c r="C5" s="7" t="s">
        <v>53</v>
      </c>
      <c r="D5" s="7" t="s">
        <v>57</v>
      </c>
      <c r="E5" s="6">
        <v>45964</v>
      </c>
      <c r="F5" s="5">
        <v>6243.28</v>
      </c>
    </row>
    <row r="6" spans="1:6" s="4" customFormat="1" x14ac:dyDescent="0.2">
      <c r="A6" s="7" t="s">
        <v>52</v>
      </c>
      <c r="B6" s="7">
        <v>81237</v>
      </c>
      <c r="C6" s="7" t="s">
        <v>53</v>
      </c>
      <c r="D6" s="7" t="s">
        <v>58</v>
      </c>
      <c r="E6" s="6">
        <v>45971</v>
      </c>
      <c r="F6" s="5">
        <v>1073.73</v>
      </c>
    </row>
    <row r="7" spans="1:6" s="4" customFormat="1" x14ac:dyDescent="0.2">
      <c r="A7" s="7" t="s">
        <v>52</v>
      </c>
      <c r="B7" s="7">
        <v>81462</v>
      </c>
      <c r="C7" s="7" t="s">
        <v>53</v>
      </c>
      <c r="D7" s="7" t="s">
        <v>59</v>
      </c>
      <c r="E7" s="6">
        <v>45979</v>
      </c>
      <c r="F7" s="5">
        <v>5094.05</v>
      </c>
    </row>
    <row r="8" spans="1:6" s="4" customFormat="1" x14ac:dyDescent="0.2">
      <c r="A8" s="7" t="s">
        <v>52</v>
      </c>
      <c r="B8" s="7">
        <v>81665</v>
      </c>
      <c r="C8" s="7" t="s">
        <v>53</v>
      </c>
      <c r="D8" s="7" t="s">
        <v>60</v>
      </c>
      <c r="E8" s="6">
        <v>45986</v>
      </c>
      <c r="F8" s="5">
        <v>7355.99</v>
      </c>
    </row>
    <row r="9" spans="1:6" s="4" customFormat="1" x14ac:dyDescent="0.2">
      <c r="A9" s="7" t="s">
        <v>52</v>
      </c>
      <c r="B9" s="7">
        <v>81846</v>
      </c>
      <c r="C9" s="7" t="s">
        <v>53</v>
      </c>
      <c r="D9" s="7" t="s">
        <v>61</v>
      </c>
      <c r="E9" s="6">
        <v>45992</v>
      </c>
      <c r="F9" s="5">
        <v>2678.03</v>
      </c>
    </row>
    <row r="10" spans="1:6" s="4" customFormat="1" x14ac:dyDescent="0.2">
      <c r="A10" s="7" t="s">
        <v>52</v>
      </c>
      <c r="B10" s="7">
        <v>82065</v>
      </c>
      <c r="C10" s="7" t="s">
        <v>53</v>
      </c>
      <c r="D10" s="7" t="s">
        <v>62</v>
      </c>
      <c r="E10" s="6">
        <v>46000</v>
      </c>
      <c r="F10" s="5">
        <v>5832.24</v>
      </c>
    </row>
    <row r="11" spans="1:6" s="4" customFormat="1" x14ac:dyDescent="0.2">
      <c r="A11" s="7" t="s">
        <v>52</v>
      </c>
      <c r="B11" s="7">
        <v>23138</v>
      </c>
      <c r="C11" s="7" t="s">
        <v>53</v>
      </c>
      <c r="D11" s="7" t="s">
        <v>63</v>
      </c>
      <c r="E11" s="6">
        <v>46006</v>
      </c>
      <c r="F11" s="5">
        <v>-374.53</v>
      </c>
    </row>
    <row r="12" spans="1:6" s="4" customFormat="1" x14ac:dyDescent="0.2">
      <c r="A12" s="7" t="s">
        <v>52</v>
      </c>
      <c r="B12" s="7">
        <v>82246</v>
      </c>
      <c r="C12" s="7" t="s">
        <v>53</v>
      </c>
      <c r="D12" s="7" t="s">
        <v>64</v>
      </c>
      <c r="E12" s="6">
        <v>46006</v>
      </c>
      <c r="F12" s="5">
        <v>556.78</v>
      </c>
    </row>
    <row r="13" spans="1:6" s="4" customFormat="1" x14ac:dyDescent="0.2">
      <c r="A13" s="7" t="s">
        <v>52</v>
      </c>
      <c r="B13" s="7">
        <v>82430</v>
      </c>
      <c r="C13" s="7" t="s">
        <v>53</v>
      </c>
      <c r="D13" s="7" t="s">
        <v>65</v>
      </c>
      <c r="E13" s="6">
        <v>46013</v>
      </c>
      <c r="F13" s="5">
        <v>2908.51</v>
      </c>
    </row>
    <row r="14" spans="1:6" s="4" customFormat="1" x14ac:dyDescent="0.2">
      <c r="A14" s="7" t="s">
        <v>52</v>
      </c>
      <c r="B14" s="7">
        <v>82635</v>
      </c>
      <c r="C14" s="7" t="s">
        <v>53</v>
      </c>
      <c r="D14" s="7" t="s">
        <v>66</v>
      </c>
      <c r="E14" s="6">
        <v>46020</v>
      </c>
      <c r="F14" s="5">
        <v>3360.19</v>
      </c>
    </row>
    <row r="15" spans="1:6" s="1" customFormat="1" x14ac:dyDescent="0.25">
      <c r="A15" s="3" t="s">
        <v>0</v>
      </c>
      <c r="B15" s="3"/>
      <c r="C15" s="3"/>
      <c r="D15" s="3"/>
      <c r="E15" s="3"/>
      <c r="F15" s="2">
        <f>SUM($F$2:$F$14)</f>
        <v>44906.29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BEE4-4FF1-4F68-A369-557E6F3CF8D4}">
  <dimension ref="A1:F18"/>
  <sheetViews>
    <sheetView rightToLeft="1" workbookViewId="0">
      <selection sqref="A1:XFD1048576"/>
    </sheetView>
  </sheetViews>
  <sheetFormatPr defaultRowHeight="14.25" x14ac:dyDescent="0.2"/>
  <cols>
    <col min="1" max="1" width="13" bestFit="1" customWidth="1"/>
    <col min="2" max="2" width="15.25" bestFit="1" customWidth="1"/>
    <col min="3" max="3" width="23.75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23.75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23.75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23.75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23.75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23.75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23.75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23.75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23.75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23.75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23.75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23.75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23.75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23.75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23.75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23.75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23.75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23.75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23.75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23.75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23.75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23.75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23.75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23.75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23.75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23.75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23.75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23.75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23.75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23.75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23.75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23.75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23.75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23.75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23.75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23.75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23.75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23.75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23.75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23.75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23.75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23.75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23.75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23.75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23.75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23.75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23.75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23.75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23.75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23.75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23.75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23.75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23.75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23.75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23.75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23.75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23.75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23.75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23.75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23.75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23.75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23.75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23.75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23.75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67</v>
      </c>
      <c r="B2" s="7">
        <v>80230</v>
      </c>
      <c r="C2" s="7" t="s">
        <v>68</v>
      </c>
      <c r="D2" s="7" t="s">
        <v>69</v>
      </c>
      <c r="E2" s="6">
        <v>45936</v>
      </c>
      <c r="F2" s="5">
        <v>2823.74</v>
      </c>
    </row>
    <row r="3" spans="1:6" s="4" customFormat="1" x14ac:dyDescent="0.2">
      <c r="A3" s="7" t="s">
        <v>67</v>
      </c>
      <c r="B3" s="7">
        <v>80331</v>
      </c>
      <c r="C3" s="7" t="s">
        <v>68</v>
      </c>
      <c r="D3" s="7" t="s">
        <v>70</v>
      </c>
      <c r="E3" s="6">
        <v>45939</v>
      </c>
      <c r="F3" s="5">
        <v>1011.84</v>
      </c>
    </row>
    <row r="4" spans="1:6" s="4" customFormat="1" x14ac:dyDescent="0.2">
      <c r="A4" s="7" t="s">
        <v>67</v>
      </c>
      <c r="B4" s="7">
        <v>80426</v>
      </c>
      <c r="C4" s="7" t="s">
        <v>68</v>
      </c>
      <c r="D4" s="7" t="s">
        <v>71</v>
      </c>
      <c r="E4" s="6">
        <v>45943</v>
      </c>
      <c r="F4" s="5">
        <v>2568.67</v>
      </c>
    </row>
    <row r="5" spans="1:6" s="4" customFormat="1" x14ac:dyDescent="0.2">
      <c r="A5" s="7" t="s">
        <v>67</v>
      </c>
      <c r="B5" s="7">
        <v>80527</v>
      </c>
      <c r="C5" s="7" t="s">
        <v>68</v>
      </c>
      <c r="D5" s="7" t="s">
        <v>72</v>
      </c>
      <c r="E5" s="6">
        <v>45949</v>
      </c>
      <c r="F5" s="5">
        <v>3439.76</v>
      </c>
    </row>
    <row r="6" spans="1:6" s="4" customFormat="1" x14ac:dyDescent="0.2">
      <c r="A6" s="7" t="s">
        <v>67</v>
      </c>
      <c r="B6" s="7">
        <v>80702</v>
      </c>
      <c r="C6" s="7" t="s">
        <v>68</v>
      </c>
      <c r="D6" s="7" t="s">
        <v>73</v>
      </c>
      <c r="E6" s="6">
        <v>45952</v>
      </c>
      <c r="F6" s="5">
        <v>1177.96</v>
      </c>
    </row>
    <row r="7" spans="1:6" s="4" customFormat="1" x14ac:dyDescent="0.2">
      <c r="A7" s="7" t="s">
        <v>67</v>
      </c>
      <c r="B7" s="7">
        <v>80897</v>
      </c>
      <c r="C7" s="7" t="s">
        <v>68</v>
      </c>
      <c r="D7" s="7" t="s">
        <v>74</v>
      </c>
      <c r="E7" s="6">
        <v>45958</v>
      </c>
      <c r="F7" s="5">
        <v>1447.4</v>
      </c>
    </row>
    <row r="8" spans="1:6" s="4" customFormat="1" x14ac:dyDescent="0.2">
      <c r="A8" s="7" t="s">
        <v>67</v>
      </c>
      <c r="B8" s="7">
        <v>81110</v>
      </c>
      <c r="C8" s="7" t="s">
        <v>68</v>
      </c>
      <c r="D8" s="7" t="s">
        <v>75</v>
      </c>
      <c r="E8" s="6">
        <v>45965</v>
      </c>
      <c r="F8" s="5">
        <v>1897.5</v>
      </c>
    </row>
    <row r="9" spans="1:6" s="4" customFormat="1" x14ac:dyDescent="0.2">
      <c r="A9" s="7" t="s">
        <v>67</v>
      </c>
      <c r="B9" s="7">
        <v>81320</v>
      </c>
      <c r="C9" s="7" t="s">
        <v>68</v>
      </c>
      <c r="D9" s="7" t="s">
        <v>76</v>
      </c>
      <c r="E9" s="6">
        <v>45973</v>
      </c>
      <c r="F9" s="5">
        <v>4133.07</v>
      </c>
    </row>
    <row r="10" spans="1:6" s="4" customFormat="1" x14ac:dyDescent="0.2">
      <c r="A10" s="7" t="s">
        <v>67</v>
      </c>
      <c r="B10" s="7">
        <v>81516</v>
      </c>
      <c r="C10" s="7" t="s">
        <v>68</v>
      </c>
      <c r="D10" s="7" t="s">
        <v>77</v>
      </c>
      <c r="E10" s="6">
        <v>45980</v>
      </c>
      <c r="F10" s="5">
        <v>2377.19</v>
      </c>
    </row>
    <row r="11" spans="1:6" s="4" customFormat="1" x14ac:dyDescent="0.2">
      <c r="A11" s="7" t="s">
        <v>67</v>
      </c>
      <c r="B11" s="7">
        <v>81676</v>
      </c>
      <c r="C11" s="7" t="s">
        <v>68</v>
      </c>
      <c r="D11" s="7" t="s">
        <v>78</v>
      </c>
      <c r="E11" s="6">
        <v>45986</v>
      </c>
      <c r="F11" s="5">
        <v>2786.48</v>
      </c>
    </row>
    <row r="12" spans="1:6" s="4" customFormat="1" x14ac:dyDescent="0.2">
      <c r="A12" s="7" t="s">
        <v>67</v>
      </c>
      <c r="B12" s="7">
        <v>81907</v>
      </c>
      <c r="C12" s="7" t="s">
        <v>68</v>
      </c>
      <c r="D12" s="7" t="s">
        <v>79</v>
      </c>
      <c r="E12" s="6">
        <v>45994</v>
      </c>
      <c r="F12" s="5">
        <v>4228.04</v>
      </c>
    </row>
    <row r="13" spans="1:6" s="4" customFormat="1" x14ac:dyDescent="0.2">
      <c r="A13" s="7" t="s">
        <v>67</v>
      </c>
      <c r="B13" s="7">
        <v>82120</v>
      </c>
      <c r="C13" s="7" t="s">
        <v>68</v>
      </c>
      <c r="D13" s="7" t="s">
        <v>80</v>
      </c>
      <c r="E13" s="6">
        <v>46000</v>
      </c>
      <c r="F13" s="5">
        <v>2513.61</v>
      </c>
    </row>
    <row r="14" spans="1:6" s="4" customFormat="1" x14ac:dyDescent="0.2">
      <c r="A14" s="7" t="s">
        <v>67</v>
      </c>
      <c r="B14" s="7">
        <v>82305</v>
      </c>
      <c r="C14" s="7" t="s">
        <v>68</v>
      </c>
      <c r="D14" s="7" t="s">
        <v>81</v>
      </c>
      <c r="E14" s="6">
        <v>46007</v>
      </c>
      <c r="F14" s="5">
        <v>2883.01</v>
      </c>
    </row>
    <row r="15" spans="1:6" s="4" customFormat="1" x14ac:dyDescent="0.2">
      <c r="A15" s="7" t="s">
        <v>67</v>
      </c>
      <c r="B15" s="7">
        <v>82399</v>
      </c>
      <c r="C15" s="7" t="s">
        <v>68</v>
      </c>
      <c r="D15" s="7" t="s">
        <v>82</v>
      </c>
      <c r="E15" s="6">
        <v>46012</v>
      </c>
      <c r="F15" s="5">
        <v>1916.15</v>
      </c>
    </row>
    <row r="16" spans="1:6" s="4" customFormat="1" x14ac:dyDescent="0.2">
      <c r="A16" s="7" t="s">
        <v>67</v>
      </c>
      <c r="B16" s="7">
        <v>82504</v>
      </c>
      <c r="C16" s="7" t="s">
        <v>68</v>
      </c>
      <c r="D16" s="7" t="s">
        <v>83</v>
      </c>
      <c r="E16" s="6">
        <v>46014</v>
      </c>
      <c r="F16" s="5">
        <v>3462.73</v>
      </c>
    </row>
    <row r="17" spans="1:6" s="4" customFormat="1" x14ac:dyDescent="0.2">
      <c r="A17" s="7" t="s">
        <v>67</v>
      </c>
      <c r="B17" s="7">
        <v>82678</v>
      </c>
      <c r="C17" s="7" t="s">
        <v>68</v>
      </c>
      <c r="D17" s="7" t="s">
        <v>84</v>
      </c>
      <c r="E17" s="6">
        <v>46021</v>
      </c>
      <c r="F17" s="5">
        <v>2352.5700000000002</v>
      </c>
    </row>
    <row r="18" spans="1:6" s="1" customFormat="1" x14ac:dyDescent="0.25">
      <c r="A18" s="3" t="s">
        <v>0</v>
      </c>
      <c r="B18" s="3"/>
      <c r="C18" s="3"/>
      <c r="D18" s="3"/>
      <c r="E18" s="3"/>
      <c r="F18" s="2">
        <f>SUM($F$2:$F$17)</f>
        <v>41019.720000000008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C3AA-3DC1-4DF3-B60E-C9F1889598AE}">
  <dimension ref="A1:F16"/>
  <sheetViews>
    <sheetView rightToLeft="1" workbookViewId="0">
      <selection sqref="A1:XFD1048576"/>
    </sheetView>
  </sheetViews>
  <sheetFormatPr defaultRowHeight="14.25" x14ac:dyDescent="0.2"/>
  <cols>
    <col min="1" max="1" width="13" bestFit="1" customWidth="1"/>
    <col min="2" max="2" width="15.25" bestFit="1" customWidth="1"/>
    <col min="3" max="3" width="16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16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16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16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16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16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16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16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16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16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16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16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16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16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16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16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16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16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16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16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16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16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16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16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16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16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16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16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16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16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16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16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16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16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16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16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16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16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16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16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16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16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16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16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16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16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16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16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16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16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16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16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16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16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16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16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16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16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16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16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16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16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16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16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85</v>
      </c>
      <c r="B2" s="7">
        <v>80156</v>
      </c>
      <c r="C2" s="7" t="s">
        <v>86</v>
      </c>
      <c r="D2" s="7" t="s">
        <v>63</v>
      </c>
      <c r="E2" s="6">
        <v>45931</v>
      </c>
      <c r="F2" s="5">
        <v>1770.32</v>
      </c>
    </row>
    <row r="3" spans="1:6" s="4" customFormat="1" x14ac:dyDescent="0.2">
      <c r="A3" s="7" t="s">
        <v>85</v>
      </c>
      <c r="B3" s="7">
        <v>80162</v>
      </c>
      <c r="C3" s="7" t="s">
        <v>86</v>
      </c>
      <c r="D3" s="7" t="s">
        <v>87</v>
      </c>
      <c r="E3" s="6">
        <v>45933</v>
      </c>
      <c r="F3" s="5">
        <v>3087.26</v>
      </c>
    </row>
    <row r="4" spans="1:6" s="4" customFormat="1" x14ac:dyDescent="0.2">
      <c r="A4" s="7" t="s">
        <v>85</v>
      </c>
      <c r="B4" s="7">
        <v>80362</v>
      </c>
      <c r="C4" s="7" t="s">
        <v>86</v>
      </c>
      <c r="D4" s="7" t="s">
        <v>88</v>
      </c>
      <c r="E4" s="6">
        <v>45942</v>
      </c>
      <c r="F4" s="5">
        <v>5961.85</v>
      </c>
    </row>
    <row r="5" spans="1:6" s="4" customFormat="1" x14ac:dyDescent="0.2">
      <c r="A5" s="7" t="s">
        <v>85</v>
      </c>
      <c r="B5" s="7">
        <v>80630</v>
      </c>
      <c r="C5" s="7" t="s">
        <v>86</v>
      </c>
      <c r="D5" s="7" t="s">
        <v>89</v>
      </c>
      <c r="E5" s="6">
        <v>45951</v>
      </c>
      <c r="F5" s="5">
        <v>4483.09</v>
      </c>
    </row>
    <row r="6" spans="1:6" s="4" customFormat="1" x14ac:dyDescent="0.2">
      <c r="A6" s="7" t="s">
        <v>85</v>
      </c>
      <c r="B6" s="7">
        <v>80849</v>
      </c>
      <c r="C6" s="7" t="s">
        <v>86</v>
      </c>
      <c r="D6" s="7" t="s">
        <v>90</v>
      </c>
      <c r="E6" s="6">
        <v>45958</v>
      </c>
      <c r="F6" s="5">
        <v>3492.4</v>
      </c>
    </row>
    <row r="7" spans="1:6" s="4" customFormat="1" x14ac:dyDescent="0.2">
      <c r="A7" s="7" t="s">
        <v>85</v>
      </c>
      <c r="B7" s="7">
        <v>81031</v>
      </c>
      <c r="C7" s="7" t="s">
        <v>86</v>
      </c>
      <c r="D7" s="7" t="s">
        <v>91</v>
      </c>
      <c r="E7" s="6">
        <v>45964</v>
      </c>
      <c r="F7" s="5">
        <v>7149.94</v>
      </c>
    </row>
    <row r="8" spans="1:6" s="4" customFormat="1" x14ac:dyDescent="0.2">
      <c r="A8" s="7" t="s">
        <v>85</v>
      </c>
      <c r="B8" s="7">
        <v>81231</v>
      </c>
      <c r="C8" s="7" t="s">
        <v>86</v>
      </c>
      <c r="D8" s="7" t="s">
        <v>92</v>
      </c>
      <c r="E8" s="6">
        <v>45971</v>
      </c>
      <c r="F8" s="5">
        <v>2312.71</v>
      </c>
    </row>
    <row r="9" spans="1:6" s="4" customFormat="1" x14ac:dyDescent="0.2">
      <c r="A9" s="7" t="s">
        <v>85</v>
      </c>
      <c r="B9" s="7">
        <v>81456</v>
      </c>
      <c r="C9" s="7" t="s">
        <v>86</v>
      </c>
      <c r="D9" s="7" t="s">
        <v>93</v>
      </c>
      <c r="E9" s="6">
        <v>45979</v>
      </c>
      <c r="F9" s="5">
        <v>2365.27</v>
      </c>
    </row>
    <row r="10" spans="1:6" s="4" customFormat="1" x14ac:dyDescent="0.2">
      <c r="A10" s="7" t="s">
        <v>85</v>
      </c>
      <c r="B10" s="7">
        <v>81641</v>
      </c>
      <c r="C10" s="7" t="s">
        <v>86</v>
      </c>
      <c r="D10" s="7" t="s">
        <v>94</v>
      </c>
      <c r="E10" s="6">
        <v>45985</v>
      </c>
      <c r="F10" s="5">
        <v>3385.66</v>
      </c>
    </row>
    <row r="11" spans="1:6" s="4" customFormat="1" x14ac:dyDescent="0.2">
      <c r="A11" s="7" t="s">
        <v>85</v>
      </c>
      <c r="B11" s="7">
        <v>81834</v>
      </c>
      <c r="C11" s="7" t="s">
        <v>86</v>
      </c>
      <c r="D11" s="7" t="s">
        <v>95</v>
      </c>
      <c r="E11" s="6">
        <v>45992</v>
      </c>
      <c r="F11" s="5">
        <v>3452.55</v>
      </c>
    </row>
    <row r="12" spans="1:6" s="4" customFormat="1" x14ac:dyDescent="0.2">
      <c r="A12" s="7" t="s">
        <v>85</v>
      </c>
      <c r="B12" s="7">
        <v>82066</v>
      </c>
      <c r="C12" s="7" t="s">
        <v>86</v>
      </c>
      <c r="D12" s="7" t="s">
        <v>96</v>
      </c>
      <c r="E12" s="6">
        <v>46000</v>
      </c>
      <c r="F12" s="5">
        <v>3480.46</v>
      </c>
    </row>
    <row r="13" spans="1:6" s="4" customFormat="1" x14ac:dyDescent="0.2">
      <c r="A13" s="7" t="s">
        <v>85</v>
      </c>
      <c r="B13" s="7">
        <v>82240</v>
      </c>
      <c r="C13" s="7" t="s">
        <v>86</v>
      </c>
      <c r="D13" s="7" t="s">
        <v>97</v>
      </c>
      <c r="E13" s="6">
        <v>46006</v>
      </c>
      <c r="F13" s="5">
        <v>4365.33</v>
      </c>
    </row>
    <row r="14" spans="1:6" s="4" customFormat="1" x14ac:dyDescent="0.2">
      <c r="A14" s="7" t="s">
        <v>85</v>
      </c>
      <c r="B14" s="7">
        <v>82449</v>
      </c>
      <c r="C14" s="7" t="s">
        <v>86</v>
      </c>
      <c r="D14" s="7" t="s">
        <v>98</v>
      </c>
      <c r="E14" s="6">
        <v>46013</v>
      </c>
      <c r="F14" s="5">
        <v>4101.71</v>
      </c>
    </row>
    <row r="15" spans="1:6" s="4" customFormat="1" x14ac:dyDescent="0.2">
      <c r="A15" s="7" t="s">
        <v>85</v>
      </c>
      <c r="B15" s="7">
        <v>82627</v>
      </c>
      <c r="C15" s="7" t="s">
        <v>86</v>
      </c>
      <c r="D15" s="7" t="s">
        <v>99</v>
      </c>
      <c r="E15" s="6">
        <v>46020</v>
      </c>
      <c r="F15" s="5">
        <v>3466.92</v>
      </c>
    </row>
    <row r="16" spans="1:6" s="1" customFormat="1" x14ac:dyDescent="0.25">
      <c r="A16" s="3" t="s">
        <v>0</v>
      </c>
      <c r="B16" s="3"/>
      <c r="C16" s="3"/>
      <c r="D16" s="3"/>
      <c r="E16" s="3"/>
      <c r="F16" s="2">
        <f>SUM($F$2:$F$15)</f>
        <v>52875.47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13D0-BA7B-41D7-95A9-82473661E66C}">
  <dimension ref="A1:F17"/>
  <sheetViews>
    <sheetView rightToLeft="1" tabSelected="1" workbookViewId="0">
      <selection sqref="A1:XFD1048576"/>
    </sheetView>
  </sheetViews>
  <sheetFormatPr defaultRowHeight="14.25" x14ac:dyDescent="0.2"/>
  <cols>
    <col min="1" max="1" width="13" bestFit="1" customWidth="1"/>
    <col min="2" max="2" width="15.25" bestFit="1" customWidth="1"/>
    <col min="3" max="3" width="11.125" bestFit="1" customWidth="1"/>
    <col min="4" max="4" width="14.75" bestFit="1" customWidth="1"/>
    <col min="5" max="5" width="16.125" bestFit="1" customWidth="1"/>
    <col min="6" max="6" width="16.5" bestFit="1" customWidth="1"/>
    <col min="257" max="257" width="13" bestFit="1" customWidth="1"/>
    <col min="258" max="258" width="15.25" bestFit="1" customWidth="1"/>
    <col min="259" max="259" width="11.125" bestFit="1" customWidth="1"/>
    <col min="260" max="260" width="14.75" bestFit="1" customWidth="1"/>
    <col min="261" max="261" width="16.125" bestFit="1" customWidth="1"/>
    <col min="262" max="262" width="16.5" bestFit="1" customWidth="1"/>
    <col min="513" max="513" width="13" bestFit="1" customWidth="1"/>
    <col min="514" max="514" width="15.25" bestFit="1" customWidth="1"/>
    <col min="515" max="515" width="11.125" bestFit="1" customWidth="1"/>
    <col min="516" max="516" width="14.75" bestFit="1" customWidth="1"/>
    <col min="517" max="517" width="16.125" bestFit="1" customWidth="1"/>
    <col min="518" max="518" width="16.5" bestFit="1" customWidth="1"/>
    <col min="769" max="769" width="13" bestFit="1" customWidth="1"/>
    <col min="770" max="770" width="15.25" bestFit="1" customWidth="1"/>
    <col min="771" max="771" width="11.125" bestFit="1" customWidth="1"/>
    <col min="772" max="772" width="14.75" bestFit="1" customWidth="1"/>
    <col min="773" max="773" width="16.125" bestFit="1" customWidth="1"/>
    <col min="774" max="774" width="16.5" bestFit="1" customWidth="1"/>
    <col min="1025" max="1025" width="13" bestFit="1" customWidth="1"/>
    <col min="1026" max="1026" width="15.25" bestFit="1" customWidth="1"/>
    <col min="1027" max="1027" width="11.125" bestFit="1" customWidth="1"/>
    <col min="1028" max="1028" width="14.75" bestFit="1" customWidth="1"/>
    <col min="1029" max="1029" width="16.125" bestFit="1" customWidth="1"/>
    <col min="1030" max="1030" width="16.5" bestFit="1" customWidth="1"/>
    <col min="1281" max="1281" width="13" bestFit="1" customWidth="1"/>
    <col min="1282" max="1282" width="15.25" bestFit="1" customWidth="1"/>
    <col min="1283" max="1283" width="11.125" bestFit="1" customWidth="1"/>
    <col min="1284" max="1284" width="14.75" bestFit="1" customWidth="1"/>
    <col min="1285" max="1285" width="16.125" bestFit="1" customWidth="1"/>
    <col min="1286" max="1286" width="16.5" bestFit="1" customWidth="1"/>
    <col min="1537" max="1537" width="13" bestFit="1" customWidth="1"/>
    <col min="1538" max="1538" width="15.25" bestFit="1" customWidth="1"/>
    <col min="1539" max="1539" width="11.125" bestFit="1" customWidth="1"/>
    <col min="1540" max="1540" width="14.75" bestFit="1" customWidth="1"/>
    <col min="1541" max="1541" width="16.125" bestFit="1" customWidth="1"/>
    <col min="1542" max="1542" width="16.5" bestFit="1" customWidth="1"/>
    <col min="1793" max="1793" width="13" bestFit="1" customWidth="1"/>
    <col min="1794" max="1794" width="15.25" bestFit="1" customWidth="1"/>
    <col min="1795" max="1795" width="11.125" bestFit="1" customWidth="1"/>
    <col min="1796" max="1796" width="14.75" bestFit="1" customWidth="1"/>
    <col min="1797" max="1797" width="16.125" bestFit="1" customWidth="1"/>
    <col min="1798" max="1798" width="16.5" bestFit="1" customWidth="1"/>
    <col min="2049" max="2049" width="13" bestFit="1" customWidth="1"/>
    <col min="2050" max="2050" width="15.25" bestFit="1" customWidth="1"/>
    <col min="2051" max="2051" width="11.125" bestFit="1" customWidth="1"/>
    <col min="2052" max="2052" width="14.75" bestFit="1" customWidth="1"/>
    <col min="2053" max="2053" width="16.125" bestFit="1" customWidth="1"/>
    <col min="2054" max="2054" width="16.5" bestFit="1" customWidth="1"/>
    <col min="2305" max="2305" width="13" bestFit="1" customWidth="1"/>
    <col min="2306" max="2306" width="15.25" bestFit="1" customWidth="1"/>
    <col min="2307" max="2307" width="11.125" bestFit="1" customWidth="1"/>
    <col min="2308" max="2308" width="14.75" bestFit="1" customWidth="1"/>
    <col min="2309" max="2309" width="16.125" bestFit="1" customWidth="1"/>
    <col min="2310" max="2310" width="16.5" bestFit="1" customWidth="1"/>
    <col min="2561" max="2561" width="13" bestFit="1" customWidth="1"/>
    <col min="2562" max="2562" width="15.25" bestFit="1" customWidth="1"/>
    <col min="2563" max="2563" width="11.125" bestFit="1" customWidth="1"/>
    <col min="2564" max="2564" width="14.75" bestFit="1" customWidth="1"/>
    <col min="2565" max="2565" width="16.125" bestFit="1" customWidth="1"/>
    <col min="2566" max="2566" width="16.5" bestFit="1" customWidth="1"/>
    <col min="2817" max="2817" width="13" bestFit="1" customWidth="1"/>
    <col min="2818" max="2818" width="15.25" bestFit="1" customWidth="1"/>
    <col min="2819" max="2819" width="11.125" bestFit="1" customWidth="1"/>
    <col min="2820" max="2820" width="14.75" bestFit="1" customWidth="1"/>
    <col min="2821" max="2821" width="16.125" bestFit="1" customWidth="1"/>
    <col min="2822" max="2822" width="16.5" bestFit="1" customWidth="1"/>
    <col min="3073" max="3073" width="13" bestFit="1" customWidth="1"/>
    <col min="3074" max="3074" width="15.25" bestFit="1" customWidth="1"/>
    <col min="3075" max="3075" width="11.125" bestFit="1" customWidth="1"/>
    <col min="3076" max="3076" width="14.75" bestFit="1" customWidth="1"/>
    <col min="3077" max="3077" width="16.125" bestFit="1" customWidth="1"/>
    <col min="3078" max="3078" width="16.5" bestFit="1" customWidth="1"/>
    <col min="3329" max="3329" width="13" bestFit="1" customWidth="1"/>
    <col min="3330" max="3330" width="15.25" bestFit="1" customWidth="1"/>
    <col min="3331" max="3331" width="11.125" bestFit="1" customWidth="1"/>
    <col min="3332" max="3332" width="14.75" bestFit="1" customWidth="1"/>
    <col min="3333" max="3333" width="16.125" bestFit="1" customWidth="1"/>
    <col min="3334" max="3334" width="16.5" bestFit="1" customWidth="1"/>
    <col min="3585" max="3585" width="13" bestFit="1" customWidth="1"/>
    <col min="3586" max="3586" width="15.25" bestFit="1" customWidth="1"/>
    <col min="3587" max="3587" width="11.125" bestFit="1" customWidth="1"/>
    <col min="3588" max="3588" width="14.75" bestFit="1" customWidth="1"/>
    <col min="3589" max="3589" width="16.125" bestFit="1" customWidth="1"/>
    <col min="3590" max="3590" width="16.5" bestFit="1" customWidth="1"/>
    <col min="3841" max="3841" width="13" bestFit="1" customWidth="1"/>
    <col min="3842" max="3842" width="15.25" bestFit="1" customWidth="1"/>
    <col min="3843" max="3843" width="11.125" bestFit="1" customWidth="1"/>
    <col min="3844" max="3844" width="14.75" bestFit="1" customWidth="1"/>
    <col min="3845" max="3845" width="16.125" bestFit="1" customWidth="1"/>
    <col min="3846" max="3846" width="16.5" bestFit="1" customWidth="1"/>
    <col min="4097" max="4097" width="13" bestFit="1" customWidth="1"/>
    <col min="4098" max="4098" width="15.25" bestFit="1" customWidth="1"/>
    <col min="4099" max="4099" width="11.125" bestFit="1" customWidth="1"/>
    <col min="4100" max="4100" width="14.75" bestFit="1" customWidth="1"/>
    <col min="4101" max="4101" width="16.125" bestFit="1" customWidth="1"/>
    <col min="4102" max="4102" width="16.5" bestFit="1" customWidth="1"/>
    <col min="4353" max="4353" width="13" bestFit="1" customWidth="1"/>
    <col min="4354" max="4354" width="15.25" bestFit="1" customWidth="1"/>
    <col min="4355" max="4355" width="11.125" bestFit="1" customWidth="1"/>
    <col min="4356" max="4356" width="14.75" bestFit="1" customWidth="1"/>
    <col min="4357" max="4357" width="16.125" bestFit="1" customWidth="1"/>
    <col min="4358" max="4358" width="16.5" bestFit="1" customWidth="1"/>
    <col min="4609" max="4609" width="13" bestFit="1" customWidth="1"/>
    <col min="4610" max="4610" width="15.25" bestFit="1" customWidth="1"/>
    <col min="4611" max="4611" width="11.125" bestFit="1" customWidth="1"/>
    <col min="4612" max="4612" width="14.75" bestFit="1" customWidth="1"/>
    <col min="4613" max="4613" width="16.125" bestFit="1" customWidth="1"/>
    <col min="4614" max="4614" width="16.5" bestFit="1" customWidth="1"/>
    <col min="4865" max="4865" width="13" bestFit="1" customWidth="1"/>
    <col min="4866" max="4866" width="15.25" bestFit="1" customWidth="1"/>
    <col min="4867" max="4867" width="11.125" bestFit="1" customWidth="1"/>
    <col min="4868" max="4868" width="14.75" bestFit="1" customWidth="1"/>
    <col min="4869" max="4869" width="16.125" bestFit="1" customWidth="1"/>
    <col min="4870" max="4870" width="16.5" bestFit="1" customWidth="1"/>
    <col min="5121" max="5121" width="13" bestFit="1" customWidth="1"/>
    <col min="5122" max="5122" width="15.25" bestFit="1" customWidth="1"/>
    <col min="5123" max="5123" width="11.125" bestFit="1" customWidth="1"/>
    <col min="5124" max="5124" width="14.75" bestFit="1" customWidth="1"/>
    <col min="5125" max="5125" width="16.125" bestFit="1" customWidth="1"/>
    <col min="5126" max="5126" width="16.5" bestFit="1" customWidth="1"/>
    <col min="5377" max="5377" width="13" bestFit="1" customWidth="1"/>
    <col min="5378" max="5378" width="15.25" bestFit="1" customWidth="1"/>
    <col min="5379" max="5379" width="11.125" bestFit="1" customWidth="1"/>
    <col min="5380" max="5380" width="14.75" bestFit="1" customWidth="1"/>
    <col min="5381" max="5381" width="16.125" bestFit="1" customWidth="1"/>
    <col min="5382" max="5382" width="16.5" bestFit="1" customWidth="1"/>
    <col min="5633" max="5633" width="13" bestFit="1" customWidth="1"/>
    <col min="5634" max="5634" width="15.25" bestFit="1" customWidth="1"/>
    <col min="5635" max="5635" width="11.125" bestFit="1" customWidth="1"/>
    <col min="5636" max="5636" width="14.75" bestFit="1" customWidth="1"/>
    <col min="5637" max="5637" width="16.125" bestFit="1" customWidth="1"/>
    <col min="5638" max="5638" width="16.5" bestFit="1" customWidth="1"/>
    <col min="5889" max="5889" width="13" bestFit="1" customWidth="1"/>
    <col min="5890" max="5890" width="15.25" bestFit="1" customWidth="1"/>
    <col min="5891" max="5891" width="11.125" bestFit="1" customWidth="1"/>
    <col min="5892" max="5892" width="14.75" bestFit="1" customWidth="1"/>
    <col min="5893" max="5893" width="16.125" bestFit="1" customWidth="1"/>
    <col min="5894" max="5894" width="16.5" bestFit="1" customWidth="1"/>
    <col min="6145" max="6145" width="13" bestFit="1" customWidth="1"/>
    <col min="6146" max="6146" width="15.25" bestFit="1" customWidth="1"/>
    <col min="6147" max="6147" width="11.125" bestFit="1" customWidth="1"/>
    <col min="6148" max="6148" width="14.75" bestFit="1" customWidth="1"/>
    <col min="6149" max="6149" width="16.125" bestFit="1" customWidth="1"/>
    <col min="6150" max="6150" width="16.5" bestFit="1" customWidth="1"/>
    <col min="6401" max="6401" width="13" bestFit="1" customWidth="1"/>
    <col min="6402" max="6402" width="15.25" bestFit="1" customWidth="1"/>
    <col min="6403" max="6403" width="11.125" bestFit="1" customWidth="1"/>
    <col min="6404" max="6404" width="14.75" bestFit="1" customWidth="1"/>
    <col min="6405" max="6405" width="16.125" bestFit="1" customWidth="1"/>
    <col min="6406" max="6406" width="16.5" bestFit="1" customWidth="1"/>
    <col min="6657" max="6657" width="13" bestFit="1" customWidth="1"/>
    <col min="6658" max="6658" width="15.25" bestFit="1" customWidth="1"/>
    <col min="6659" max="6659" width="11.125" bestFit="1" customWidth="1"/>
    <col min="6660" max="6660" width="14.75" bestFit="1" customWidth="1"/>
    <col min="6661" max="6661" width="16.125" bestFit="1" customWidth="1"/>
    <col min="6662" max="6662" width="16.5" bestFit="1" customWidth="1"/>
    <col min="6913" max="6913" width="13" bestFit="1" customWidth="1"/>
    <col min="6914" max="6914" width="15.25" bestFit="1" customWidth="1"/>
    <col min="6915" max="6915" width="11.125" bestFit="1" customWidth="1"/>
    <col min="6916" max="6916" width="14.75" bestFit="1" customWidth="1"/>
    <col min="6917" max="6917" width="16.125" bestFit="1" customWidth="1"/>
    <col min="6918" max="6918" width="16.5" bestFit="1" customWidth="1"/>
    <col min="7169" max="7169" width="13" bestFit="1" customWidth="1"/>
    <col min="7170" max="7170" width="15.25" bestFit="1" customWidth="1"/>
    <col min="7171" max="7171" width="11.125" bestFit="1" customWidth="1"/>
    <col min="7172" max="7172" width="14.75" bestFit="1" customWidth="1"/>
    <col min="7173" max="7173" width="16.125" bestFit="1" customWidth="1"/>
    <col min="7174" max="7174" width="16.5" bestFit="1" customWidth="1"/>
    <col min="7425" max="7425" width="13" bestFit="1" customWidth="1"/>
    <col min="7426" max="7426" width="15.25" bestFit="1" customWidth="1"/>
    <col min="7427" max="7427" width="11.125" bestFit="1" customWidth="1"/>
    <col min="7428" max="7428" width="14.75" bestFit="1" customWidth="1"/>
    <col min="7429" max="7429" width="16.125" bestFit="1" customWidth="1"/>
    <col min="7430" max="7430" width="16.5" bestFit="1" customWidth="1"/>
    <col min="7681" max="7681" width="13" bestFit="1" customWidth="1"/>
    <col min="7682" max="7682" width="15.25" bestFit="1" customWidth="1"/>
    <col min="7683" max="7683" width="11.125" bestFit="1" customWidth="1"/>
    <col min="7684" max="7684" width="14.75" bestFit="1" customWidth="1"/>
    <col min="7685" max="7685" width="16.125" bestFit="1" customWidth="1"/>
    <col min="7686" max="7686" width="16.5" bestFit="1" customWidth="1"/>
    <col min="7937" max="7937" width="13" bestFit="1" customWidth="1"/>
    <col min="7938" max="7938" width="15.25" bestFit="1" customWidth="1"/>
    <col min="7939" max="7939" width="11.125" bestFit="1" customWidth="1"/>
    <col min="7940" max="7940" width="14.75" bestFit="1" customWidth="1"/>
    <col min="7941" max="7941" width="16.125" bestFit="1" customWidth="1"/>
    <col min="7942" max="7942" width="16.5" bestFit="1" customWidth="1"/>
    <col min="8193" max="8193" width="13" bestFit="1" customWidth="1"/>
    <col min="8194" max="8194" width="15.25" bestFit="1" customWidth="1"/>
    <col min="8195" max="8195" width="11.125" bestFit="1" customWidth="1"/>
    <col min="8196" max="8196" width="14.75" bestFit="1" customWidth="1"/>
    <col min="8197" max="8197" width="16.125" bestFit="1" customWidth="1"/>
    <col min="8198" max="8198" width="16.5" bestFit="1" customWidth="1"/>
    <col min="8449" max="8449" width="13" bestFit="1" customWidth="1"/>
    <col min="8450" max="8450" width="15.25" bestFit="1" customWidth="1"/>
    <col min="8451" max="8451" width="11.125" bestFit="1" customWidth="1"/>
    <col min="8452" max="8452" width="14.75" bestFit="1" customWidth="1"/>
    <col min="8453" max="8453" width="16.125" bestFit="1" customWidth="1"/>
    <col min="8454" max="8454" width="16.5" bestFit="1" customWidth="1"/>
    <col min="8705" max="8705" width="13" bestFit="1" customWidth="1"/>
    <col min="8706" max="8706" width="15.25" bestFit="1" customWidth="1"/>
    <col min="8707" max="8707" width="11.125" bestFit="1" customWidth="1"/>
    <col min="8708" max="8708" width="14.75" bestFit="1" customWidth="1"/>
    <col min="8709" max="8709" width="16.125" bestFit="1" customWidth="1"/>
    <col min="8710" max="8710" width="16.5" bestFit="1" customWidth="1"/>
    <col min="8961" max="8961" width="13" bestFit="1" customWidth="1"/>
    <col min="8962" max="8962" width="15.25" bestFit="1" customWidth="1"/>
    <col min="8963" max="8963" width="11.125" bestFit="1" customWidth="1"/>
    <col min="8964" max="8964" width="14.75" bestFit="1" customWidth="1"/>
    <col min="8965" max="8965" width="16.125" bestFit="1" customWidth="1"/>
    <col min="8966" max="8966" width="16.5" bestFit="1" customWidth="1"/>
    <col min="9217" max="9217" width="13" bestFit="1" customWidth="1"/>
    <col min="9218" max="9218" width="15.25" bestFit="1" customWidth="1"/>
    <col min="9219" max="9219" width="11.125" bestFit="1" customWidth="1"/>
    <col min="9220" max="9220" width="14.75" bestFit="1" customWidth="1"/>
    <col min="9221" max="9221" width="16.125" bestFit="1" customWidth="1"/>
    <col min="9222" max="9222" width="16.5" bestFit="1" customWidth="1"/>
    <col min="9473" max="9473" width="13" bestFit="1" customWidth="1"/>
    <col min="9474" max="9474" width="15.25" bestFit="1" customWidth="1"/>
    <col min="9475" max="9475" width="11.125" bestFit="1" customWidth="1"/>
    <col min="9476" max="9476" width="14.75" bestFit="1" customWidth="1"/>
    <col min="9477" max="9477" width="16.125" bestFit="1" customWidth="1"/>
    <col min="9478" max="9478" width="16.5" bestFit="1" customWidth="1"/>
    <col min="9729" max="9729" width="13" bestFit="1" customWidth="1"/>
    <col min="9730" max="9730" width="15.25" bestFit="1" customWidth="1"/>
    <col min="9731" max="9731" width="11.125" bestFit="1" customWidth="1"/>
    <col min="9732" max="9732" width="14.75" bestFit="1" customWidth="1"/>
    <col min="9733" max="9733" width="16.125" bestFit="1" customWidth="1"/>
    <col min="9734" max="9734" width="16.5" bestFit="1" customWidth="1"/>
    <col min="9985" max="9985" width="13" bestFit="1" customWidth="1"/>
    <col min="9986" max="9986" width="15.25" bestFit="1" customWidth="1"/>
    <col min="9987" max="9987" width="11.125" bestFit="1" customWidth="1"/>
    <col min="9988" max="9988" width="14.75" bestFit="1" customWidth="1"/>
    <col min="9989" max="9989" width="16.125" bestFit="1" customWidth="1"/>
    <col min="9990" max="9990" width="16.5" bestFit="1" customWidth="1"/>
    <col min="10241" max="10241" width="13" bestFit="1" customWidth="1"/>
    <col min="10242" max="10242" width="15.25" bestFit="1" customWidth="1"/>
    <col min="10243" max="10243" width="11.125" bestFit="1" customWidth="1"/>
    <col min="10244" max="10244" width="14.75" bestFit="1" customWidth="1"/>
    <col min="10245" max="10245" width="16.125" bestFit="1" customWidth="1"/>
    <col min="10246" max="10246" width="16.5" bestFit="1" customWidth="1"/>
    <col min="10497" max="10497" width="13" bestFit="1" customWidth="1"/>
    <col min="10498" max="10498" width="15.25" bestFit="1" customWidth="1"/>
    <col min="10499" max="10499" width="11.125" bestFit="1" customWidth="1"/>
    <col min="10500" max="10500" width="14.75" bestFit="1" customWidth="1"/>
    <col min="10501" max="10501" width="16.125" bestFit="1" customWidth="1"/>
    <col min="10502" max="10502" width="16.5" bestFit="1" customWidth="1"/>
    <col min="10753" max="10753" width="13" bestFit="1" customWidth="1"/>
    <col min="10754" max="10754" width="15.25" bestFit="1" customWidth="1"/>
    <col min="10755" max="10755" width="11.125" bestFit="1" customWidth="1"/>
    <col min="10756" max="10756" width="14.75" bestFit="1" customWidth="1"/>
    <col min="10757" max="10757" width="16.125" bestFit="1" customWidth="1"/>
    <col min="10758" max="10758" width="16.5" bestFit="1" customWidth="1"/>
    <col min="11009" max="11009" width="13" bestFit="1" customWidth="1"/>
    <col min="11010" max="11010" width="15.25" bestFit="1" customWidth="1"/>
    <col min="11011" max="11011" width="11.125" bestFit="1" customWidth="1"/>
    <col min="11012" max="11012" width="14.75" bestFit="1" customWidth="1"/>
    <col min="11013" max="11013" width="16.125" bestFit="1" customWidth="1"/>
    <col min="11014" max="11014" width="16.5" bestFit="1" customWidth="1"/>
    <col min="11265" max="11265" width="13" bestFit="1" customWidth="1"/>
    <col min="11266" max="11266" width="15.25" bestFit="1" customWidth="1"/>
    <col min="11267" max="11267" width="11.125" bestFit="1" customWidth="1"/>
    <col min="11268" max="11268" width="14.75" bestFit="1" customWidth="1"/>
    <col min="11269" max="11269" width="16.125" bestFit="1" customWidth="1"/>
    <col min="11270" max="11270" width="16.5" bestFit="1" customWidth="1"/>
    <col min="11521" max="11521" width="13" bestFit="1" customWidth="1"/>
    <col min="11522" max="11522" width="15.25" bestFit="1" customWidth="1"/>
    <col min="11523" max="11523" width="11.125" bestFit="1" customWidth="1"/>
    <col min="11524" max="11524" width="14.75" bestFit="1" customWidth="1"/>
    <col min="11525" max="11525" width="16.125" bestFit="1" customWidth="1"/>
    <col min="11526" max="11526" width="16.5" bestFit="1" customWidth="1"/>
    <col min="11777" max="11777" width="13" bestFit="1" customWidth="1"/>
    <col min="11778" max="11778" width="15.25" bestFit="1" customWidth="1"/>
    <col min="11779" max="11779" width="11.125" bestFit="1" customWidth="1"/>
    <col min="11780" max="11780" width="14.75" bestFit="1" customWidth="1"/>
    <col min="11781" max="11781" width="16.125" bestFit="1" customWidth="1"/>
    <col min="11782" max="11782" width="16.5" bestFit="1" customWidth="1"/>
    <col min="12033" max="12033" width="13" bestFit="1" customWidth="1"/>
    <col min="12034" max="12034" width="15.25" bestFit="1" customWidth="1"/>
    <col min="12035" max="12035" width="11.125" bestFit="1" customWidth="1"/>
    <col min="12036" max="12036" width="14.75" bestFit="1" customWidth="1"/>
    <col min="12037" max="12037" width="16.125" bestFit="1" customWidth="1"/>
    <col min="12038" max="12038" width="16.5" bestFit="1" customWidth="1"/>
    <col min="12289" max="12289" width="13" bestFit="1" customWidth="1"/>
    <col min="12290" max="12290" width="15.25" bestFit="1" customWidth="1"/>
    <col min="12291" max="12291" width="11.125" bestFit="1" customWidth="1"/>
    <col min="12292" max="12292" width="14.75" bestFit="1" customWidth="1"/>
    <col min="12293" max="12293" width="16.125" bestFit="1" customWidth="1"/>
    <col min="12294" max="12294" width="16.5" bestFit="1" customWidth="1"/>
    <col min="12545" max="12545" width="13" bestFit="1" customWidth="1"/>
    <col min="12546" max="12546" width="15.25" bestFit="1" customWidth="1"/>
    <col min="12547" max="12547" width="11.125" bestFit="1" customWidth="1"/>
    <col min="12548" max="12548" width="14.75" bestFit="1" customWidth="1"/>
    <col min="12549" max="12549" width="16.125" bestFit="1" customWidth="1"/>
    <col min="12550" max="12550" width="16.5" bestFit="1" customWidth="1"/>
    <col min="12801" max="12801" width="13" bestFit="1" customWidth="1"/>
    <col min="12802" max="12802" width="15.25" bestFit="1" customWidth="1"/>
    <col min="12803" max="12803" width="11.125" bestFit="1" customWidth="1"/>
    <col min="12804" max="12804" width="14.75" bestFit="1" customWidth="1"/>
    <col min="12805" max="12805" width="16.125" bestFit="1" customWidth="1"/>
    <col min="12806" max="12806" width="16.5" bestFit="1" customWidth="1"/>
    <col min="13057" max="13057" width="13" bestFit="1" customWidth="1"/>
    <col min="13058" max="13058" width="15.25" bestFit="1" customWidth="1"/>
    <col min="13059" max="13059" width="11.125" bestFit="1" customWidth="1"/>
    <col min="13060" max="13060" width="14.75" bestFit="1" customWidth="1"/>
    <col min="13061" max="13061" width="16.125" bestFit="1" customWidth="1"/>
    <col min="13062" max="13062" width="16.5" bestFit="1" customWidth="1"/>
    <col min="13313" max="13313" width="13" bestFit="1" customWidth="1"/>
    <col min="13314" max="13314" width="15.25" bestFit="1" customWidth="1"/>
    <col min="13315" max="13315" width="11.125" bestFit="1" customWidth="1"/>
    <col min="13316" max="13316" width="14.75" bestFit="1" customWidth="1"/>
    <col min="13317" max="13317" width="16.125" bestFit="1" customWidth="1"/>
    <col min="13318" max="13318" width="16.5" bestFit="1" customWidth="1"/>
    <col min="13569" max="13569" width="13" bestFit="1" customWidth="1"/>
    <col min="13570" max="13570" width="15.25" bestFit="1" customWidth="1"/>
    <col min="13571" max="13571" width="11.125" bestFit="1" customWidth="1"/>
    <col min="13572" max="13572" width="14.75" bestFit="1" customWidth="1"/>
    <col min="13573" max="13573" width="16.125" bestFit="1" customWidth="1"/>
    <col min="13574" max="13574" width="16.5" bestFit="1" customWidth="1"/>
    <col min="13825" max="13825" width="13" bestFit="1" customWidth="1"/>
    <col min="13826" max="13826" width="15.25" bestFit="1" customWidth="1"/>
    <col min="13827" max="13827" width="11.125" bestFit="1" customWidth="1"/>
    <col min="13828" max="13828" width="14.75" bestFit="1" customWidth="1"/>
    <col min="13829" max="13829" width="16.125" bestFit="1" customWidth="1"/>
    <col min="13830" max="13830" width="16.5" bestFit="1" customWidth="1"/>
    <col min="14081" max="14081" width="13" bestFit="1" customWidth="1"/>
    <col min="14082" max="14082" width="15.25" bestFit="1" customWidth="1"/>
    <col min="14083" max="14083" width="11.125" bestFit="1" customWidth="1"/>
    <col min="14084" max="14084" width="14.75" bestFit="1" customWidth="1"/>
    <col min="14085" max="14085" width="16.125" bestFit="1" customWidth="1"/>
    <col min="14086" max="14086" width="16.5" bestFit="1" customWidth="1"/>
    <col min="14337" max="14337" width="13" bestFit="1" customWidth="1"/>
    <col min="14338" max="14338" width="15.25" bestFit="1" customWidth="1"/>
    <col min="14339" max="14339" width="11.125" bestFit="1" customWidth="1"/>
    <col min="14340" max="14340" width="14.75" bestFit="1" customWidth="1"/>
    <col min="14341" max="14341" width="16.125" bestFit="1" customWidth="1"/>
    <col min="14342" max="14342" width="16.5" bestFit="1" customWidth="1"/>
    <col min="14593" max="14593" width="13" bestFit="1" customWidth="1"/>
    <col min="14594" max="14594" width="15.25" bestFit="1" customWidth="1"/>
    <col min="14595" max="14595" width="11.125" bestFit="1" customWidth="1"/>
    <col min="14596" max="14596" width="14.75" bestFit="1" customWidth="1"/>
    <col min="14597" max="14597" width="16.125" bestFit="1" customWidth="1"/>
    <col min="14598" max="14598" width="16.5" bestFit="1" customWidth="1"/>
    <col min="14849" max="14849" width="13" bestFit="1" customWidth="1"/>
    <col min="14850" max="14850" width="15.25" bestFit="1" customWidth="1"/>
    <col min="14851" max="14851" width="11.125" bestFit="1" customWidth="1"/>
    <col min="14852" max="14852" width="14.75" bestFit="1" customWidth="1"/>
    <col min="14853" max="14853" width="16.125" bestFit="1" customWidth="1"/>
    <col min="14854" max="14854" width="16.5" bestFit="1" customWidth="1"/>
    <col min="15105" max="15105" width="13" bestFit="1" customWidth="1"/>
    <col min="15106" max="15106" width="15.25" bestFit="1" customWidth="1"/>
    <col min="15107" max="15107" width="11.125" bestFit="1" customWidth="1"/>
    <col min="15108" max="15108" width="14.75" bestFit="1" customWidth="1"/>
    <col min="15109" max="15109" width="16.125" bestFit="1" customWidth="1"/>
    <col min="15110" max="15110" width="16.5" bestFit="1" customWidth="1"/>
    <col min="15361" max="15361" width="13" bestFit="1" customWidth="1"/>
    <col min="15362" max="15362" width="15.25" bestFit="1" customWidth="1"/>
    <col min="15363" max="15363" width="11.125" bestFit="1" customWidth="1"/>
    <col min="15364" max="15364" width="14.75" bestFit="1" customWidth="1"/>
    <col min="15365" max="15365" width="16.125" bestFit="1" customWidth="1"/>
    <col min="15366" max="15366" width="16.5" bestFit="1" customWidth="1"/>
    <col min="15617" max="15617" width="13" bestFit="1" customWidth="1"/>
    <col min="15618" max="15618" width="15.25" bestFit="1" customWidth="1"/>
    <col min="15619" max="15619" width="11.125" bestFit="1" customWidth="1"/>
    <col min="15620" max="15620" width="14.75" bestFit="1" customWidth="1"/>
    <col min="15621" max="15621" width="16.125" bestFit="1" customWidth="1"/>
    <col min="15622" max="15622" width="16.5" bestFit="1" customWidth="1"/>
    <col min="15873" max="15873" width="13" bestFit="1" customWidth="1"/>
    <col min="15874" max="15874" width="15.25" bestFit="1" customWidth="1"/>
    <col min="15875" max="15875" width="11.125" bestFit="1" customWidth="1"/>
    <col min="15876" max="15876" width="14.75" bestFit="1" customWidth="1"/>
    <col min="15877" max="15877" width="16.125" bestFit="1" customWidth="1"/>
    <col min="15878" max="15878" width="16.5" bestFit="1" customWidth="1"/>
    <col min="16129" max="16129" width="13" bestFit="1" customWidth="1"/>
    <col min="16130" max="16130" width="15.25" bestFit="1" customWidth="1"/>
    <col min="16131" max="16131" width="11.125" bestFit="1" customWidth="1"/>
    <col min="16132" max="16132" width="14.75" bestFit="1" customWidth="1"/>
    <col min="16133" max="16133" width="16.125" bestFit="1" customWidth="1"/>
    <col min="16134" max="16134" width="16.5" bestFit="1" customWidth="1"/>
  </cols>
  <sheetData>
    <row r="1" spans="1:6" s="8" customFormat="1" ht="20.100000000000001" customHeight="1" x14ac:dyDescent="0.2">
      <c r="A1" s="9" t="s">
        <v>20</v>
      </c>
      <c r="B1" s="9" t="s">
        <v>19</v>
      </c>
      <c r="C1" s="9" t="s">
        <v>18</v>
      </c>
      <c r="D1" s="9" t="s">
        <v>17</v>
      </c>
      <c r="E1" s="9" t="s">
        <v>16</v>
      </c>
      <c r="F1" s="9" t="s">
        <v>15</v>
      </c>
    </row>
    <row r="2" spans="1:6" s="4" customFormat="1" x14ac:dyDescent="0.2">
      <c r="A2" s="7" t="s">
        <v>100</v>
      </c>
      <c r="B2" s="7">
        <v>80155</v>
      </c>
      <c r="C2" s="7" t="s">
        <v>101</v>
      </c>
      <c r="D2" s="7" t="s">
        <v>63</v>
      </c>
      <c r="E2" s="6">
        <v>45931</v>
      </c>
      <c r="F2" s="5">
        <v>1483.03</v>
      </c>
    </row>
    <row r="3" spans="1:6" s="4" customFormat="1" x14ac:dyDescent="0.2">
      <c r="A3" s="7" t="s">
        <v>100</v>
      </c>
      <c r="B3" s="7">
        <v>80180</v>
      </c>
      <c r="C3" s="7" t="s">
        <v>101</v>
      </c>
      <c r="D3" s="7" t="s">
        <v>102</v>
      </c>
      <c r="E3" s="6">
        <v>45935</v>
      </c>
      <c r="F3" s="5">
        <v>2033.97</v>
      </c>
    </row>
    <row r="4" spans="1:6" s="4" customFormat="1" x14ac:dyDescent="0.2">
      <c r="A4" s="7" t="s">
        <v>100</v>
      </c>
      <c r="B4" s="7">
        <v>80358</v>
      </c>
      <c r="C4" s="7" t="s">
        <v>101</v>
      </c>
      <c r="D4" s="7" t="s">
        <v>103</v>
      </c>
      <c r="E4" s="6">
        <v>45942</v>
      </c>
      <c r="F4" s="5">
        <v>2805.04</v>
      </c>
    </row>
    <row r="5" spans="1:6" s="4" customFormat="1" x14ac:dyDescent="0.2">
      <c r="A5" s="7" t="s">
        <v>100</v>
      </c>
      <c r="B5" s="7">
        <v>80584</v>
      </c>
      <c r="C5" s="7" t="s">
        <v>101</v>
      </c>
      <c r="D5" s="7" t="s">
        <v>104</v>
      </c>
      <c r="E5" s="6">
        <v>45950</v>
      </c>
      <c r="F5" s="5">
        <v>8210.24</v>
      </c>
    </row>
    <row r="6" spans="1:6" s="4" customFormat="1" x14ac:dyDescent="0.2">
      <c r="A6" s="7" t="s">
        <v>100</v>
      </c>
      <c r="B6" s="7">
        <v>80858</v>
      </c>
      <c r="C6" s="7" t="s">
        <v>101</v>
      </c>
      <c r="D6" s="7" t="s">
        <v>105</v>
      </c>
      <c r="E6" s="6">
        <v>45958</v>
      </c>
      <c r="F6" s="5">
        <v>4922.93</v>
      </c>
    </row>
    <row r="7" spans="1:6" s="4" customFormat="1" x14ac:dyDescent="0.2">
      <c r="A7" s="7" t="s">
        <v>100</v>
      </c>
      <c r="B7" s="7" t="s">
        <v>106</v>
      </c>
      <c r="C7" s="7" t="s">
        <v>101</v>
      </c>
      <c r="D7" s="7" t="s">
        <v>107</v>
      </c>
      <c r="E7" s="6">
        <v>45964</v>
      </c>
      <c r="F7" s="5">
        <v>3642.34</v>
      </c>
    </row>
    <row r="8" spans="1:6" s="4" customFormat="1" x14ac:dyDescent="0.2">
      <c r="A8" s="7" t="s">
        <v>100</v>
      </c>
      <c r="B8" s="7">
        <v>81203</v>
      </c>
      <c r="C8" s="7" t="s">
        <v>101</v>
      </c>
      <c r="D8" s="7" t="s">
        <v>108</v>
      </c>
      <c r="E8" s="6">
        <v>45970</v>
      </c>
      <c r="F8" s="5">
        <v>3835.6</v>
      </c>
    </row>
    <row r="9" spans="1:6" s="4" customFormat="1" x14ac:dyDescent="0.2">
      <c r="A9" s="7" t="s">
        <v>100</v>
      </c>
      <c r="B9" s="7">
        <v>81406</v>
      </c>
      <c r="C9" s="7" t="s">
        <v>101</v>
      </c>
      <c r="D9" s="7" t="s">
        <v>109</v>
      </c>
      <c r="E9" s="6">
        <v>45977</v>
      </c>
      <c r="F9" s="5">
        <v>6777.97</v>
      </c>
    </row>
    <row r="10" spans="1:6" s="4" customFormat="1" x14ac:dyDescent="0.2">
      <c r="A10" s="7" t="s">
        <v>100</v>
      </c>
      <c r="B10" s="7">
        <v>81614</v>
      </c>
      <c r="C10" s="7" t="s">
        <v>101</v>
      </c>
      <c r="D10" s="7" t="s">
        <v>110</v>
      </c>
      <c r="E10" s="6">
        <v>45985</v>
      </c>
      <c r="F10" s="5">
        <v>4272.07</v>
      </c>
    </row>
    <row r="11" spans="1:6" s="4" customFormat="1" x14ac:dyDescent="0.2">
      <c r="A11" s="7" t="s">
        <v>100</v>
      </c>
      <c r="B11" s="7">
        <v>81805</v>
      </c>
      <c r="C11" s="7" t="s">
        <v>101</v>
      </c>
      <c r="D11" s="7" t="s">
        <v>111</v>
      </c>
      <c r="E11" s="6">
        <v>45992</v>
      </c>
      <c r="F11" s="5">
        <v>3159.32</v>
      </c>
    </row>
    <row r="12" spans="1:6" s="4" customFormat="1" x14ac:dyDescent="0.2">
      <c r="A12" s="7" t="s">
        <v>100</v>
      </c>
      <c r="B12" s="7">
        <v>81994</v>
      </c>
      <c r="C12" s="7" t="s">
        <v>101</v>
      </c>
      <c r="D12" s="7" t="s">
        <v>112</v>
      </c>
      <c r="E12" s="6">
        <v>45998</v>
      </c>
      <c r="F12" s="5">
        <v>4138.1499999999996</v>
      </c>
    </row>
    <row r="13" spans="1:6" s="4" customFormat="1" x14ac:dyDescent="0.2">
      <c r="A13" s="7" t="s">
        <v>100</v>
      </c>
      <c r="B13" s="7">
        <v>82194</v>
      </c>
      <c r="C13" s="7" t="s">
        <v>101</v>
      </c>
      <c r="D13" s="7" t="s">
        <v>113</v>
      </c>
      <c r="E13" s="6">
        <v>46005</v>
      </c>
      <c r="F13" s="5">
        <v>4934.7299999999996</v>
      </c>
    </row>
    <row r="14" spans="1:6" s="4" customFormat="1" x14ac:dyDescent="0.2">
      <c r="A14" s="7" t="s">
        <v>100</v>
      </c>
      <c r="B14" s="7">
        <v>82403</v>
      </c>
      <c r="C14" s="7" t="s">
        <v>101</v>
      </c>
      <c r="D14" s="7" t="s">
        <v>114</v>
      </c>
      <c r="E14" s="6">
        <v>46012</v>
      </c>
      <c r="F14" s="5">
        <v>3831.38</v>
      </c>
    </row>
    <row r="15" spans="1:6" s="4" customFormat="1" x14ac:dyDescent="0.2">
      <c r="A15" s="7" t="s">
        <v>100</v>
      </c>
      <c r="B15" s="7">
        <v>82602</v>
      </c>
      <c r="C15" s="7" t="s">
        <v>101</v>
      </c>
      <c r="D15" s="7" t="s">
        <v>115</v>
      </c>
      <c r="E15" s="6">
        <v>46020</v>
      </c>
      <c r="F15" s="5">
        <v>5810.12</v>
      </c>
    </row>
    <row r="16" spans="1:6" s="4" customFormat="1" x14ac:dyDescent="0.2">
      <c r="A16" s="7" t="s">
        <v>100</v>
      </c>
      <c r="B16" s="7">
        <v>23146</v>
      </c>
      <c r="C16" s="7" t="s">
        <v>101</v>
      </c>
      <c r="D16" s="7" t="s">
        <v>63</v>
      </c>
      <c r="E16" s="6">
        <v>46021</v>
      </c>
      <c r="F16" s="5">
        <v>-774.52</v>
      </c>
    </row>
    <row r="17" spans="1:6" s="1" customFormat="1" x14ac:dyDescent="0.25">
      <c r="A17" s="3" t="s">
        <v>0</v>
      </c>
      <c r="B17" s="3"/>
      <c r="C17" s="3"/>
      <c r="D17" s="3"/>
      <c r="E17" s="3"/>
      <c r="F17" s="2">
        <f>SUM($F$2:$F$16)</f>
        <v>59082.37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כרמיאל</vt:lpstr>
      <vt:lpstr>נתניה</vt:lpstr>
      <vt:lpstr>קרית אתא</vt:lpstr>
      <vt:lpstr>חדרה</vt:lpstr>
      <vt:lpstr>יהוד</vt:lpstr>
      <vt:lpstr>עזריאלי</vt:lpstr>
      <vt:lpstr>ויני רגבה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2015-06-05T18:19:34Z</dcterms:created>
  <dcterms:modified xsi:type="dcterms:W3CDTF">2026-01-29T18:06:12Z</dcterms:modified>
</cp:coreProperties>
</file>