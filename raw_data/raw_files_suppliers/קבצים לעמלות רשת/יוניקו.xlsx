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</sheets>
  <definedNames/>
  <calcPr/>
  <extLst>
    <ext uri="GoogleSheetsCustomDataVersion2">
      <go:sheetsCustomData xmlns:go="http://customooxmlschemas.google.com/" r:id="rId5" roundtripDataChecksum="RrKEY1I7kf9DD6r8QkI+UPSBaW+G4e1EbvuV1rj4zDA="/>
    </ext>
  </extLst>
</workbook>
</file>

<file path=xl/sharedStrings.xml><?xml version="1.0" encoding="utf-8"?>
<sst xmlns="http://schemas.openxmlformats.org/spreadsheetml/2006/main" count="448" uniqueCount="108">
  <si>
    <t>מינה טומאיי</t>
  </si>
  <si>
    <t>פאט ויני</t>
  </si>
  <si>
    <t>קינג קונג</t>
  </si>
  <si>
    <t>קסטרא חיפה</t>
  </si>
  <si>
    <t>חיפה</t>
  </si>
  <si>
    <t>ביג קריות</t>
  </si>
  <si>
    <t>מק"ט</t>
  </si>
  <si>
    <t xml:space="preserve">שם פריט </t>
  </si>
  <si>
    <t>כמות</t>
  </si>
  <si>
    <t>מחיר ליחידה</t>
  </si>
  <si>
    <t>סה"כ</t>
  </si>
  <si>
    <t>BJ-423</t>
  </si>
  <si>
    <t>מכנס טבח</t>
  </si>
  <si>
    <t>AR-96</t>
  </si>
  <si>
    <t>מפית 50*50</t>
  </si>
  <si>
    <t>BJ-125</t>
  </si>
  <si>
    <t>סינר שלם</t>
  </si>
  <si>
    <t>KR-2211.11</t>
  </si>
  <si>
    <t>כובע</t>
  </si>
  <si>
    <t>GL-3137</t>
  </si>
  <si>
    <t>חולצת דרייפיט</t>
  </si>
  <si>
    <t>ML-988</t>
  </si>
  <si>
    <t>חולצת טריקו</t>
  </si>
  <si>
    <t>MO-82- YO-9088/YO-9000</t>
  </si>
  <si>
    <t>ג'קט מלצר</t>
  </si>
  <si>
    <t>HI-1155</t>
  </si>
  <si>
    <t>AA-792</t>
  </si>
  <si>
    <t>נעלי בירקנשטוק</t>
  </si>
  <si>
    <t>KR-2410</t>
  </si>
  <si>
    <t>בנדנה</t>
  </si>
  <si>
    <t>BJ-824</t>
  </si>
  <si>
    <t>ג'קט שף תיקתק אלכסון</t>
  </si>
  <si>
    <t>YO-9281</t>
  </si>
  <si>
    <t>סינר דמוי עור דגם GAB</t>
  </si>
  <si>
    <t>HUS-9473</t>
  </si>
  <si>
    <t>חולצת גבר + כפתורי צדף</t>
  </si>
  <si>
    <t>NS-65344</t>
  </si>
  <si>
    <t>תיק אייפד</t>
  </si>
  <si>
    <t>YO-9063</t>
  </si>
  <si>
    <t>אלגנט סלים פיט נשים</t>
  </si>
  <si>
    <t>RL-4002</t>
  </si>
  <si>
    <t xml:space="preserve">חולצת טריקו </t>
  </si>
  <si>
    <t>YO-9003/4</t>
  </si>
  <si>
    <t>קימונו נשים</t>
  </si>
  <si>
    <t>YO-9064</t>
  </si>
  <si>
    <t>אלגנט סלים פיט גברים</t>
  </si>
  <si>
    <t>YO-9212</t>
  </si>
  <si>
    <t>סינר צרפתי פשתן</t>
  </si>
  <si>
    <t>יהוד</t>
  </si>
  <si>
    <t>נתניה</t>
  </si>
  <si>
    <t>חורב</t>
  </si>
  <si>
    <t>BJ-173/KR-2410</t>
  </si>
  <si>
    <t>ML-667/AA-792</t>
  </si>
  <si>
    <t>YOI-9306</t>
  </si>
  <si>
    <t>BJ-824/BJ-880</t>
  </si>
  <si>
    <t>ג'קט שף</t>
  </si>
  <si>
    <t>YO-9000</t>
  </si>
  <si>
    <t>PT-08</t>
  </si>
  <si>
    <t>BJ-175/YO-9003/4</t>
  </si>
  <si>
    <t>קימונו + רקמה</t>
  </si>
  <si>
    <t>חדרה</t>
  </si>
  <si>
    <t>אודון ניהול- קריון</t>
  </si>
  <si>
    <t>BJ-56</t>
  </si>
  <si>
    <t>סינר צרפתי-פאט</t>
  </si>
  <si>
    <t>BJ-175</t>
  </si>
  <si>
    <t>רעננה</t>
  </si>
  <si>
    <t>M_-82</t>
  </si>
  <si>
    <t>YO-9064-121679127-8</t>
  </si>
  <si>
    <t>YO-9296</t>
  </si>
  <si>
    <t>תיק צד אייפד דמוי עור</t>
  </si>
  <si>
    <t>עין שמר</t>
  </si>
  <si>
    <t>קפטן - כובע מצחיה</t>
  </si>
  <si>
    <t>כרמיאל</t>
  </si>
  <si>
    <t>MO-82- YO-9</t>
  </si>
  <si>
    <t>MO-49</t>
  </si>
  <si>
    <t>YO-9063/4</t>
  </si>
  <si>
    <t>אלגנט סלים</t>
  </si>
  <si>
    <t>דרייפית</t>
  </si>
  <si>
    <t>YO-121679025/57/YO-121679127/8</t>
  </si>
  <si>
    <t>חולצת נשים / גברים</t>
  </si>
  <si>
    <t>רשת מינה טומאי</t>
  </si>
  <si>
    <t>סינר צרפתי  פשטן</t>
  </si>
  <si>
    <t>KR-2020</t>
  </si>
  <si>
    <t>עמלת 10%</t>
  </si>
  <si>
    <t>HI-1182</t>
  </si>
  <si>
    <t>חולצת טריקו V</t>
  </si>
  <si>
    <t>חולצת דרייפית</t>
  </si>
  <si>
    <t>חולצות טריקו</t>
  </si>
  <si>
    <t>YO-9253</t>
  </si>
  <si>
    <t>סינר פרימיום</t>
  </si>
  <si>
    <t>רגבה</t>
  </si>
  <si>
    <t>BJ-454/BJ-824</t>
  </si>
  <si>
    <t>KR-2211/2020</t>
  </si>
  <si>
    <t>סינר אייפד</t>
  </si>
  <si>
    <t>סינר צרפתי</t>
  </si>
  <si>
    <t>ניהול מותג</t>
  </si>
  <si>
    <t>BJ-454</t>
  </si>
  <si>
    <t>קרית אתא</t>
  </si>
  <si>
    <t>KR-2211-2020</t>
  </si>
  <si>
    <t>BJ-454-HI-1093</t>
  </si>
  <si>
    <t xml:space="preserve">ג'קט שף </t>
  </si>
  <si>
    <t>געתון</t>
  </si>
  <si>
    <t>אלגנט סלים פיט גבר - מידה גדולה</t>
  </si>
  <si>
    <t>YO-9292</t>
  </si>
  <si>
    <t>סינר חצי דמוי עור מעוגל</t>
  </si>
  <si>
    <t>רשת פאט ויני</t>
  </si>
  <si>
    <t>עמלה 10%</t>
  </si>
  <si>
    <t>רשת קינג קונג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</si>
</sst>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₪&quot;\ #,##0.00"/>
    <numFmt numFmtId="165" formatCode="&quot;₪&quot;\ #,##0"/>
    <numFmt numFmtId="166" formatCode="_ &quot;₪&quot;\ * #,##0.00_ ;_ &quot;₪&quot;\ * \-#,##0.00_ ;_ &quot;₪&quot;\ * &quot;-&quot;??_ ;_ @_ "/>
  </numFmts>
  <fonts count="6">
    <font>
      <sz val="11.0"/>
      <color theme="1"/>
      <name val="Arial"/>
      <scheme val="minor"/>
    </font>
    <font>
      <b/>
      <sz val="11.0"/>
      <color theme="0"/>
      <name val="Arial"/>
    </font>
    <font/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EEAF6"/>
        <bgColor rgb="FFDEEAF6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readingOrder="0"/>
    </xf>
    <xf borderId="7" fillId="0" fontId="4" numFmtId="0" xfId="0" applyBorder="1" applyFont="1"/>
    <xf borderId="7" fillId="0" fontId="4" numFmtId="164" xfId="0" applyBorder="1" applyFont="1" applyNumberFormat="1"/>
    <xf borderId="0" fillId="0" fontId="4" numFmtId="165" xfId="0" applyFont="1" applyNumberFormat="1"/>
    <xf borderId="7" fillId="4" fontId="4" numFmtId="164" xfId="0" applyBorder="1" applyFill="1" applyFont="1" applyNumberFormat="1"/>
    <xf borderId="0" fillId="0" fontId="3" numFmtId="0" xfId="0" applyAlignment="1" applyFont="1">
      <alignment horizontal="center"/>
    </xf>
    <xf borderId="8" fillId="0" fontId="4" numFmtId="0" xfId="0" applyAlignment="1" applyBorder="1" applyFont="1">
      <alignment horizontal="center" vertical="center"/>
    </xf>
    <xf borderId="0" fillId="0" fontId="4" numFmtId="164" xfId="0" applyFont="1" applyNumberFormat="1"/>
    <xf borderId="9" fillId="0" fontId="2" numFmtId="0" xfId="0" applyBorder="1" applyFont="1"/>
    <xf borderId="10" fillId="0" fontId="2" numFmtId="0" xfId="0" applyBorder="1" applyFont="1"/>
    <xf borderId="11" fillId="4" fontId="4" numFmtId="164" xfId="0" applyBorder="1" applyFont="1" applyNumberFormat="1"/>
    <xf borderId="9" fillId="0" fontId="4" numFmtId="164" xfId="0" applyBorder="1" applyFont="1" applyNumberFormat="1"/>
    <xf borderId="7" fillId="0" fontId="4" numFmtId="0" xfId="0" applyAlignment="1" applyBorder="1" applyFont="1">
      <alignment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7" fillId="5" fontId="4" numFmtId="164" xfId="0" applyBorder="1" applyFill="1" applyFont="1" applyNumberFormat="1"/>
    <xf borderId="0" fillId="0" fontId="5" numFmtId="0" xfId="0" applyAlignment="1" applyFont="1">
      <alignment readingOrder="0"/>
    </xf>
    <xf borderId="0" fillId="0" fontId="5" numFmtId="164" xfId="0" applyFont="1" applyNumberFormat="1"/>
    <xf borderId="0" fillId="0" fontId="4" numFmtId="166" xfId="0" applyFont="1" applyNumberFormat="1"/>
    <xf borderId="0" fillId="0" fontId="4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6.0"/>
    <col customWidth="1" min="2" max="2" width="18.13"/>
    <col customWidth="1" min="3" max="4" width="8.63"/>
    <col customWidth="1" min="5" max="5" width="9.88"/>
    <col customWidth="1" min="6" max="6" width="8.63"/>
    <col customWidth="1" min="7" max="7" width="20.5"/>
    <col customWidth="1" min="8" max="8" width="25.88"/>
    <col customWidth="1" min="9" max="9" width="10.63"/>
    <col customWidth="1" min="10" max="10" width="8.63"/>
    <col customWidth="1" min="11" max="11" width="9.88"/>
    <col customWidth="1" min="12" max="12" width="8.63"/>
    <col customWidth="1" min="13" max="13" width="15.0"/>
    <col customWidth="1" min="14" max="14" width="19.38"/>
    <col customWidth="1" min="15" max="15" width="10.88"/>
    <col customWidth="1" min="16" max="16" width="8.63"/>
    <col customWidth="1" min="17" max="17" width="9.88"/>
    <col customWidth="1" min="18" max="26" width="8.63"/>
  </cols>
  <sheetData>
    <row r="1" ht="14.25" customHeight="1"/>
    <row r="2" ht="14.25" customHeight="1">
      <c r="A2" s="1" t="s">
        <v>0</v>
      </c>
      <c r="B2" s="2"/>
      <c r="C2" s="2"/>
      <c r="D2" s="2"/>
      <c r="E2" s="3"/>
      <c r="G2" s="1" t="s">
        <v>1</v>
      </c>
      <c r="H2" s="2"/>
      <c r="I2" s="2"/>
      <c r="J2" s="2"/>
      <c r="K2" s="3"/>
      <c r="M2" s="1" t="s">
        <v>2</v>
      </c>
      <c r="N2" s="2"/>
      <c r="O2" s="2"/>
      <c r="P2" s="2"/>
      <c r="Q2" s="3"/>
    </row>
    <row r="3" ht="14.25" customHeight="1">
      <c r="A3" s="4" t="s">
        <v>3</v>
      </c>
      <c r="B3" s="5"/>
      <c r="C3" s="5"/>
      <c r="D3" s="5"/>
      <c r="E3" s="6"/>
      <c r="G3" s="4" t="s">
        <v>4</v>
      </c>
      <c r="H3" s="5"/>
      <c r="I3" s="5"/>
      <c r="J3" s="5"/>
      <c r="K3" s="6"/>
      <c r="M3" s="4" t="s">
        <v>5</v>
      </c>
      <c r="N3" s="5"/>
      <c r="O3" s="5"/>
      <c r="P3" s="5"/>
      <c r="Q3" s="6"/>
    </row>
    <row r="4" ht="14.25" customHeight="1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M4" s="7" t="s">
        <v>6</v>
      </c>
      <c r="N4" s="7" t="s">
        <v>7</v>
      </c>
      <c r="O4" s="7" t="s">
        <v>8</v>
      </c>
      <c r="P4" s="7" t="s">
        <v>9</v>
      </c>
      <c r="Q4" s="7" t="s">
        <v>10</v>
      </c>
    </row>
    <row r="5" ht="14.25" customHeight="1">
      <c r="A5" s="8" t="s">
        <v>11</v>
      </c>
      <c r="B5" s="7" t="s">
        <v>12</v>
      </c>
      <c r="C5" s="8">
        <v>42.0</v>
      </c>
      <c r="D5" s="9">
        <v>39.6</v>
      </c>
      <c r="E5" s="9">
        <f t="shared" ref="E5:E13" si="1">C5*D5</f>
        <v>1663.2</v>
      </c>
      <c r="G5" s="8" t="s">
        <v>13</v>
      </c>
      <c r="H5" s="7" t="s">
        <v>14</v>
      </c>
      <c r="I5" s="8"/>
      <c r="J5" s="9">
        <v>10.0</v>
      </c>
      <c r="K5" s="9">
        <f t="shared" ref="K5:K14" si="2">I5*J5</f>
        <v>0</v>
      </c>
      <c r="M5" s="8" t="s">
        <v>11</v>
      </c>
      <c r="N5" s="7" t="s">
        <v>12</v>
      </c>
      <c r="O5" s="8"/>
      <c r="P5" s="9">
        <v>39.6</v>
      </c>
      <c r="Q5" s="9">
        <f t="shared" ref="Q5:Q13" si="3">O5*P5</f>
        <v>0</v>
      </c>
    </row>
    <row r="6" ht="14.25" customHeight="1">
      <c r="A6" s="8" t="s">
        <v>15</v>
      </c>
      <c r="B6" s="7" t="s">
        <v>16</v>
      </c>
      <c r="C6" s="8">
        <v>10.0</v>
      </c>
      <c r="D6" s="9">
        <v>19.36</v>
      </c>
      <c r="E6" s="9">
        <f t="shared" si="1"/>
        <v>193.6</v>
      </c>
      <c r="G6" s="8" t="s">
        <v>17</v>
      </c>
      <c r="H6" s="7" t="s">
        <v>18</v>
      </c>
      <c r="I6" s="8">
        <v>15.0</v>
      </c>
      <c r="J6" s="9">
        <v>11.0</v>
      </c>
      <c r="K6" s="9">
        <f t="shared" si="2"/>
        <v>165</v>
      </c>
      <c r="M6" s="8" t="s">
        <v>19</v>
      </c>
      <c r="N6" s="7" t="s">
        <v>20</v>
      </c>
      <c r="O6" s="8"/>
      <c r="P6" s="9">
        <v>13.2</v>
      </c>
      <c r="Q6" s="9">
        <f t="shared" si="3"/>
        <v>0</v>
      </c>
    </row>
    <row r="7" ht="14.25" customHeight="1">
      <c r="A7" s="8" t="s">
        <v>19</v>
      </c>
      <c r="B7" s="7" t="s">
        <v>20</v>
      </c>
      <c r="C7" s="8"/>
      <c r="D7" s="9">
        <v>13.2</v>
      </c>
      <c r="E7" s="9">
        <f t="shared" si="1"/>
        <v>0</v>
      </c>
      <c r="G7" s="8" t="s">
        <v>11</v>
      </c>
      <c r="H7" s="7" t="s">
        <v>12</v>
      </c>
      <c r="I7" s="8"/>
      <c r="J7" s="9">
        <v>39.6</v>
      </c>
      <c r="K7" s="9">
        <f t="shared" si="2"/>
        <v>0</v>
      </c>
      <c r="M7" s="8" t="s">
        <v>21</v>
      </c>
      <c r="N7" s="7" t="s">
        <v>22</v>
      </c>
      <c r="O7" s="8"/>
      <c r="P7" s="9">
        <v>20.0</v>
      </c>
      <c r="Q7" s="9">
        <f t="shared" si="3"/>
        <v>0</v>
      </c>
    </row>
    <row r="8" ht="14.25" customHeight="1">
      <c r="A8" s="8" t="s">
        <v>23</v>
      </c>
      <c r="B8" s="7" t="s">
        <v>24</v>
      </c>
      <c r="C8" s="8">
        <v>10.0</v>
      </c>
      <c r="D8" s="9">
        <v>97.0</v>
      </c>
      <c r="E8" s="9">
        <f t="shared" si="1"/>
        <v>970</v>
      </c>
      <c r="G8" s="8" t="s">
        <v>25</v>
      </c>
      <c r="H8" s="7" t="s">
        <v>20</v>
      </c>
      <c r="I8" s="8"/>
      <c r="J8" s="9">
        <v>13.2</v>
      </c>
      <c r="K8" s="9">
        <f t="shared" si="2"/>
        <v>0</v>
      </c>
      <c r="M8" s="8" t="s">
        <v>26</v>
      </c>
      <c r="N8" s="7" t="s">
        <v>27</v>
      </c>
      <c r="O8" s="8"/>
      <c r="P8" s="9">
        <v>223.3</v>
      </c>
      <c r="Q8" s="9">
        <f t="shared" si="3"/>
        <v>0</v>
      </c>
    </row>
    <row r="9" ht="14.25" customHeight="1">
      <c r="A9" s="8" t="s">
        <v>26</v>
      </c>
      <c r="B9" s="7" t="s">
        <v>27</v>
      </c>
      <c r="C9" s="8">
        <v>2.0</v>
      </c>
      <c r="D9" s="9">
        <v>223.3</v>
      </c>
      <c r="E9" s="9">
        <f t="shared" si="1"/>
        <v>446.6</v>
      </c>
      <c r="G9" s="8" t="s">
        <v>15</v>
      </c>
      <c r="H9" s="7" t="s">
        <v>16</v>
      </c>
      <c r="I9" s="8">
        <v>20.0</v>
      </c>
      <c r="J9" s="9">
        <v>19.36</v>
      </c>
      <c r="K9" s="9">
        <f t="shared" si="2"/>
        <v>387.2</v>
      </c>
      <c r="M9" s="8" t="s">
        <v>28</v>
      </c>
      <c r="N9" s="7" t="s">
        <v>29</v>
      </c>
      <c r="O9" s="8"/>
      <c r="P9" s="9">
        <v>11.0</v>
      </c>
      <c r="Q9" s="9">
        <f t="shared" si="3"/>
        <v>0</v>
      </c>
    </row>
    <row r="10" ht="14.25" customHeight="1">
      <c r="A10" s="8" t="s">
        <v>30</v>
      </c>
      <c r="B10" s="7" t="s">
        <v>31</v>
      </c>
      <c r="C10" s="8"/>
      <c r="D10" s="9">
        <v>60.5</v>
      </c>
      <c r="E10" s="9">
        <f t="shared" si="1"/>
        <v>0</v>
      </c>
      <c r="G10" s="8" t="s">
        <v>11</v>
      </c>
      <c r="H10" s="7" t="s">
        <v>12</v>
      </c>
      <c r="I10" s="8"/>
      <c r="J10" s="9">
        <v>39.6</v>
      </c>
      <c r="K10" s="9">
        <f t="shared" si="2"/>
        <v>0</v>
      </c>
      <c r="M10" s="8" t="s">
        <v>32</v>
      </c>
      <c r="N10" s="7" t="s">
        <v>33</v>
      </c>
      <c r="O10" s="8"/>
      <c r="P10" s="9">
        <v>85.0</v>
      </c>
      <c r="Q10" s="9">
        <f t="shared" si="3"/>
        <v>0</v>
      </c>
    </row>
    <row r="11" ht="14.25" customHeight="1">
      <c r="A11" s="8" t="s">
        <v>25</v>
      </c>
      <c r="B11" s="7" t="s">
        <v>20</v>
      </c>
      <c r="C11" s="8">
        <v>17.0</v>
      </c>
      <c r="D11" s="9">
        <v>13.2</v>
      </c>
      <c r="E11" s="9">
        <f t="shared" si="1"/>
        <v>224.4</v>
      </c>
      <c r="G11" s="8" t="s">
        <v>30</v>
      </c>
      <c r="H11" s="7" t="s">
        <v>31</v>
      </c>
      <c r="I11" s="8">
        <v>10.0</v>
      </c>
      <c r="J11" s="9">
        <v>60.5</v>
      </c>
      <c r="K11" s="9">
        <f t="shared" si="2"/>
        <v>605</v>
      </c>
      <c r="M11" s="8" t="s">
        <v>34</v>
      </c>
      <c r="N11" s="7" t="s">
        <v>35</v>
      </c>
      <c r="O11" s="8">
        <v>20.0</v>
      </c>
      <c r="P11" s="9">
        <v>66.6</v>
      </c>
      <c r="Q11" s="9">
        <f t="shared" si="3"/>
        <v>1332</v>
      </c>
    </row>
    <row r="12" ht="14.25" customHeight="1">
      <c r="A12" s="8" t="s">
        <v>36</v>
      </c>
      <c r="B12" s="7" t="s">
        <v>37</v>
      </c>
      <c r="C12" s="8"/>
      <c r="D12" s="9">
        <v>85.0</v>
      </c>
      <c r="E12" s="9">
        <f t="shared" si="1"/>
        <v>0</v>
      </c>
      <c r="G12" s="8" t="s">
        <v>38</v>
      </c>
      <c r="H12" s="7" t="s">
        <v>39</v>
      </c>
      <c r="I12" s="8">
        <v>20.0</v>
      </c>
      <c r="J12" s="9">
        <v>61.5</v>
      </c>
      <c r="K12" s="9">
        <f t="shared" si="2"/>
        <v>1230</v>
      </c>
      <c r="M12" s="8" t="s">
        <v>40</v>
      </c>
      <c r="N12" s="7" t="s">
        <v>41</v>
      </c>
      <c r="O12" s="8"/>
      <c r="P12" s="9">
        <v>13.33</v>
      </c>
      <c r="Q12" s="9">
        <f t="shared" si="3"/>
        <v>0</v>
      </c>
    </row>
    <row r="13" ht="14.25" customHeight="1">
      <c r="A13" s="8" t="s">
        <v>42</v>
      </c>
      <c r="B13" s="7" t="s">
        <v>43</v>
      </c>
      <c r="C13" s="8">
        <v>15.0</v>
      </c>
      <c r="D13" s="9">
        <v>85.0</v>
      </c>
      <c r="E13" s="9">
        <f t="shared" si="1"/>
        <v>1275</v>
      </c>
      <c r="G13" s="8" t="s">
        <v>44</v>
      </c>
      <c r="H13" s="7" t="s">
        <v>45</v>
      </c>
      <c r="I13" s="8">
        <v>4.0</v>
      </c>
      <c r="J13" s="9">
        <v>61.5</v>
      </c>
      <c r="K13" s="9">
        <f t="shared" si="2"/>
        <v>246</v>
      </c>
      <c r="M13" s="8" t="s">
        <v>30</v>
      </c>
      <c r="N13" s="7" t="s">
        <v>31</v>
      </c>
      <c r="O13" s="8"/>
      <c r="P13" s="9">
        <v>60.5</v>
      </c>
      <c r="Q13" s="9">
        <f t="shared" si="3"/>
        <v>0</v>
      </c>
    </row>
    <row r="14" ht="14.25" customHeight="1">
      <c r="D14" s="10"/>
      <c r="E14" s="11">
        <f>SUM(E5:E13)</f>
        <v>4772.8</v>
      </c>
      <c r="G14" s="8" t="s">
        <v>46</v>
      </c>
      <c r="H14" s="7" t="s">
        <v>47</v>
      </c>
      <c r="I14" s="8"/>
      <c r="J14" s="9">
        <v>41.5</v>
      </c>
      <c r="K14" s="9">
        <f t="shared" si="2"/>
        <v>0</v>
      </c>
      <c r="P14" s="10"/>
      <c r="Q14" s="11">
        <f>SUM(Q5:Q13)</f>
        <v>1332</v>
      </c>
    </row>
    <row r="15" ht="14.25" customHeight="1">
      <c r="J15" s="10"/>
      <c r="K15" s="11">
        <f>SUM(K5:K14)</f>
        <v>2633.2</v>
      </c>
    </row>
    <row r="16" ht="14.25" customHeight="1">
      <c r="M16" s="12"/>
    </row>
    <row r="17" ht="14.25" customHeight="1">
      <c r="A17" s="4" t="s">
        <v>48</v>
      </c>
      <c r="B17" s="5"/>
      <c r="C17" s="5"/>
      <c r="D17" s="5"/>
      <c r="E17" s="6"/>
      <c r="G17" s="4" t="s">
        <v>49</v>
      </c>
      <c r="H17" s="5"/>
      <c r="I17" s="5"/>
      <c r="J17" s="5"/>
      <c r="K17" s="6"/>
      <c r="M17" s="4" t="s">
        <v>50</v>
      </c>
      <c r="N17" s="5"/>
      <c r="O17" s="5"/>
      <c r="P17" s="5"/>
      <c r="Q17" s="6"/>
    </row>
    <row r="18" ht="14.25" customHeight="1">
      <c r="A18" s="7" t="s">
        <v>6</v>
      </c>
      <c r="B18" s="7" t="s">
        <v>7</v>
      </c>
      <c r="C18" s="7" t="s">
        <v>8</v>
      </c>
      <c r="D18" s="7" t="s">
        <v>9</v>
      </c>
      <c r="E18" s="7" t="s">
        <v>10</v>
      </c>
      <c r="G18" s="7" t="s">
        <v>6</v>
      </c>
      <c r="H18" s="7" t="s">
        <v>7</v>
      </c>
      <c r="I18" s="7" t="s">
        <v>8</v>
      </c>
      <c r="J18" s="7" t="s">
        <v>9</v>
      </c>
      <c r="K18" s="7" t="s">
        <v>10</v>
      </c>
      <c r="M18" s="7" t="s">
        <v>6</v>
      </c>
      <c r="N18" s="7" t="s">
        <v>7</v>
      </c>
      <c r="O18" s="7" t="s">
        <v>8</v>
      </c>
      <c r="P18" s="7" t="s">
        <v>9</v>
      </c>
      <c r="Q18" s="7" t="s">
        <v>10</v>
      </c>
    </row>
    <row r="19" ht="14.25" customHeight="1">
      <c r="A19" s="8" t="s">
        <v>25</v>
      </c>
      <c r="B19" s="7" t="s">
        <v>20</v>
      </c>
      <c r="C19" s="13">
        <v>0.0</v>
      </c>
      <c r="D19" s="9">
        <v>13.2</v>
      </c>
      <c r="E19" s="9">
        <f t="shared" ref="E19:E27" si="4">C19*D19</f>
        <v>0</v>
      </c>
      <c r="G19" s="8" t="s">
        <v>15</v>
      </c>
      <c r="H19" s="7" t="s">
        <v>16</v>
      </c>
      <c r="I19" s="8">
        <v>5.0</v>
      </c>
      <c r="J19" s="9">
        <v>19.36</v>
      </c>
      <c r="K19" s="9">
        <f t="shared" ref="K19:K26" si="5">I19*J19</f>
        <v>96.8</v>
      </c>
      <c r="L19" s="14"/>
      <c r="M19" s="8" t="s">
        <v>32</v>
      </c>
      <c r="N19" s="7" t="s">
        <v>33</v>
      </c>
      <c r="O19" s="8"/>
      <c r="P19" s="9">
        <v>85.0</v>
      </c>
      <c r="Q19" s="9">
        <f t="shared" ref="Q19:Q28" si="6">O19*P19</f>
        <v>0</v>
      </c>
    </row>
    <row r="20" ht="14.25" customHeight="1">
      <c r="A20" s="8" t="s">
        <v>51</v>
      </c>
      <c r="B20" s="7" t="s">
        <v>29</v>
      </c>
      <c r="C20" s="15"/>
      <c r="D20" s="9">
        <v>11.0</v>
      </c>
      <c r="E20" s="9">
        <f t="shared" si="4"/>
        <v>0</v>
      </c>
      <c r="G20" s="8" t="s">
        <v>17</v>
      </c>
      <c r="H20" s="7" t="s">
        <v>18</v>
      </c>
      <c r="I20" s="8"/>
      <c r="J20" s="9">
        <v>11.0</v>
      </c>
      <c r="K20" s="9">
        <f t="shared" si="5"/>
        <v>0</v>
      </c>
      <c r="M20" s="8" t="s">
        <v>34</v>
      </c>
      <c r="N20" s="7" t="s">
        <v>35</v>
      </c>
      <c r="O20" s="8">
        <v>12.0</v>
      </c>
      <c r="P20" s="9">
        <v>66.6</v>
      </c>
      <c r="Q20" s="9">
        <f t="shared" si="6"/>
        <v>799.2</v>
      </c>
    </row>
    <row r="21" ht="14.25" customHeight="1">
      <c r="A21" s="8" t="s">
        <v>52</v>
      </c>
      <c r="B21" s="7" t="s">
        <v>27</v>
      </c>
      <c r="C21" s="15"/>
      <c r="D21" s="9">
        <v>223.3</v>
      </c>
      <c r="E21" s="9">
        <f t="shared" si="4"/>
        <v>0</v>
      </c>
      <c r="G21" s="8" t="s">
        <v>13</v>
      </c>
      <c r="H21" s="7" t="s">
        <v>14</v>
      </c>
      <c r="I21" s="8"/>
      <c r="J21" s="9">
        <v>10.0</v>
      </c>
      <c r="K21" s="9">
        <f t="shared" si="5"/>
        <v>0</v>
      </c>
      <c r="M21" s="8" t="s">
        <v>11</v>
      </c>
      <c r="N21" s="7" t="s">
        <v>12</v>
      </c>
      <c r="O21" s="8">
        <v>20.0</v>
      </c>
      <c r="P21" s="9">
        <v>39.6</v>
      </c>
      <c r="Q21" s="9">
        <f t="shared" si="6"/>
        <v>792</v>
      </c>
    </row>
    <row r="22" ht="14.25" customHeight="1">
      <c r="A22" s="8" t="s">
        <v>11</v>
      </c>
      <c r="B22" s="7" t="s">
        <v>12</v>
      </c>
      <c r="C22" s="15"/>
      <c r="D22" s="9">
        <v>39.6</v>
      </c>
      <c r="E22" s="9">
        <f t="shared" si="4"/>
        <v>0</v>
      </c>
      <c r="G22" s="8" t="s">
        <v>11</v>
      </c>
      <c r="H22" s="7" t="s">
        <v>12</v>
      </c>
      <c r="I22" s="8">
        <v>5.0</v>
      </c>
      <c r="J22" s="9">
        <v>39.6</v>
      </c>
      <c r="K22" s="9">
        <f t="shared" si="5"/>
        <v>198</v>
      </c>
      <c r="M22" s="8" t="s">
        <v>19</v>
      </c>
      <c r="N22" s="7" t="s">
        <v>20</v>
      </c>
      <c r="O22" s="8"/>
      <c r="P22" s="9">
        <v>13.2</v>
      </c>
      <c r="Q22" s="9">
        <f t="shared" si="6"/>
        <v>0</v>
      </c>
    </row>
    <row r="23" ht="14.25" customHeight="1">
      <c r="A23" s="8" t="s">
        <v>53</v>
      </c>
      <c r="B23" s="7" t="s">
        <v>16</v>
      </c>
      <c r="C23" s="15"/>
      <c r="D23" s="9">
        <v>19.36</v>
      </c>
      <c r="E23" s="9">
        <f t="shared" si="4"/>
        <v>0</v>
      </c>
      <c r="G23" s="8" t="s">
        <v>30</v>
      </c>
      <c r="H23" s="7" t="s">
        <v>31</v>
      </c>
      <c r="I23" s="8">
        <v>9.0</v>
      </c>
      <c r="J23" s="9">
        <v>60.5</v>
      </c>
      <c r="K23" s="9">
        <f t="shared" si="5"/>
        <v>544.5</v>
      </c>
      <c r="M23" s="8" t="s">
        <v>15</v>
      </c>
      <c r="N23" s="7" t="s">
        <v>16</v>
      </c>
      <c r="O23" s="8">
        <v>12.0</v>
      </c>
      <c r="P23" s="9">
        <v>19.36</v>
      </c>
      <c r="Q23" s="9">
        <f t="shared" si="6"/>
        <v>232.32</v>
      </c>
    </row>
    <row r="24" ht="14.25" customHeight="1">
      <c r="A24" s="8" t="s">
        <v>54</v>
      </c>
      <c r="B24" s="7" t="s">
        <v>55</v>
      </c>
      <c r="C24" s="15"/>
      <c r="D24" s="9">
        <v>60.5</v>
      </c>
      <c r="E24" s="9">
        <f t="shared" si="4"/>
        <v>0</v>
      </c>
      <c r="G24" s="8" t="s">
        <v>46</v>
      </c>
      <c r="H24" s="7" t="s">
        <v>47</v>
      </c>
      <c r="I24" s="8">
        <v>10.0</v>
      </c>
      <c r="J24" s="9">
        <v>41.5</v>
      </c>
      <c r="K24" s="9">
        <f t="shared" si="5"/>
        <v>415</v>
      </c>
      <c r="M24" s="8" t="s">
        <v>40</v>
      </c>
      <c r="N24" s="7" t="s">
        <v>22</v>
      </c>
      <c r="O24" s="8">
        <v>5.0</v>
      </c>
      <c r="P24" s="9">
        <v>13.33</v>
      </c>
      <c r="Q24" s="9">
        <f t="shared" si="6"/>
        <v>66.65</v>
      </c>
    </row>
    <row r="25" ht="14.25" customHeight="1">
      <c r="A25" s="8" t="s">
        <v>56</v>
      </c>
      <c r="B25" s="7" t="s">
        <v>24</v>
      </c>
      <c r="C25" s="15"/>
      <c r="D25" s="9">
        <v>97.0</v>
      </c>
      <c r="E25" s="9">
        <f t="shared" si="4"/>
        <v>0</v>
      </c>
      <c r="G25" s="8" t="s">
        <v>38</v>
      </c>
      <c r="H25" s="7" t="s">
        <v>39</v>
      </c>
      <c r="I25" s="8">
        <v>14.0</v>
      </c>
      <c r="J25" s="9">
        <v>61.5</v>
      </c>
      <c r="K25" s="9">
        <f t="shared" si="5"/>
        <v>861</v>
      </c>
      <c r="M25" s="8" t="s">
        <v>57</v>
      </c>
      <c r="N25" s="7" t="s">
        <v>41</v>
      </c>
      <c r="O25" s="8">
        <v>4.0</v>
      </c>
      <c r="P25" s="9">
        <v>20.0</v>
      </c>
      <c r="Q25" s="9">
        <f t="shared" si="6"/>
        <v>80</v>
      </c>
    </row>
    <row r="26" ht="14.25" customHeight="1">
      <c r="A26" s="8" t="s">
        <v>32</v>
      </c>
      <c r="B26" s="7" t="s">
        <v>33</v>
      </c>
      <c r="C26" s="15"/>
      <c r="D26" s="9">
        <v>85.0</v>
      </c>
      <c r="E26" s="9">
        <f t="shared" si="4"/>
        <v>0</v>
      </c>
      <c r="G26" s="8" t="s">
        <v>44</v>
      </c>
      <c r="H26" s="7" t="s">
        <v>45</v>
      </c>
      <c r="I26" s="8">
        <v>16.0</v>
      </c>
      <c r="J26" s="9">
        <v>61.5</v>
      </c>
      <c r="K26" s="9">
        <f t="shared" si="5"/>
        <v>984</v>
      </c>
      <c r="M26" s="8" t="s">
        <v>26</v>
      </c>
      <c r="N26" s="7" t="s">
        <v>27</v>
      </c>
      <c r="O26" s="8">
        <v>6.0</v>
      </c>
      <c r="P26" s="9">
        <v>223.3</v>
      </c>
      <c r="Q26" s="9">
        <f t="shared" si="6"/>
        <v>1339.8</v>
      </c>
    </row>
    <row r="27" ht="14.25" customHeight="1">
      <c r="A27" s="8" t="s">
        <v>58</v>
      </c>
      <c r="B27" s="7" t="s">
        <v>59</v>
      </c>
      <c r="C27" s="16"/>
      <c r="D27" s="9">
        <v>85.0</v>
      </c>
      <c r="E27" s="9">
        <f t="shared" si="4"/>
        <v>0</v>
      </c>
      <c r="K27" s="11">
        <f>SUM(K19:K26)</f>
        <v>3099.3</v>
      </c>
      <c r="M27" s="8" t="s">
        <v>28</v>
      </c>
      <c r="N27" s="7" t="s">
        <v>29</v>
      </c>
      <c r="O27" s="8">
        <v>16.0</v>
      </c>
      <c r="P27" s="9">
        <v>11.0</v>
      </c>
      <c r="Q27" s="9">
        <f t="shared" si="6"/>
        <v>176</v>
      </c>
    </row>
    <row r="28" ht="14.25" customHeight="1">
      <c r="D28" s="10"/>
      <c r="E28" s="11">
        <f>SUM(E19:E27)</f>
        <v>0</v>
      </c>
      <c r="M28" s="8" t="s">
        <v>30</v>
      </c>
      <c r="N28" s="7" t="s">
        <v>31</v>
      </c>
      <c r="O28" s="8">
        <v>21.0</v>
      </c>
      <c r="P28" s="9">
        <v>60.5</v>
      </c>
      <c r="Q28" s="9">
        <f t="shared" si="6"/>
        <v>1270.5</v>
      </c>
    </row>
    <row r="29" ht="14.25" customHeight="1">
      <c r="G29" s="4" t="s">
        <v>60</v>
      </c>
      <c r="H29" s="5"/>
      <c r="I29" s="5"/>
      <c r="J29" s="5"/>
      <c r="K29" s="6"/>
      <c r="P29" s="10"/>
      <c r="Q29" s="11">
        <f>SUM(Q19:Q28)</f>
        <v>4756.47</v>
      </c>
    </row>
    <row r="30" ht="14.25" customHeight="1">
      <c r="A30" s="4" t="s">
        <v>61</v>
      </c>
      <c r="B30" s="5"/>
      <c r="C30" s="5"/>
      <c r="D30" s="5"/>
      <c r="E30" s="6"/>
      <c r="G30" s="7" t="s">
        <v>6</v>
      </c>
      <c r="H30" s="7" t="s">
        <v>7</v>
      </c>
      <c r="I30" s="7" t="s">
        <v>8</v>
      </c>
      <c r="J30" s="7" t="s">
        <v>9</v>
      </c>
      <c r="K30" s="7" t="s">
        <v>10</v>
      </c>
    </row>
    <row r="31" ht="14.25" customHeight="1">
      <c r="A31" s="7" t="s">
        <v>6</v>
      </c>
      <c r="B31" s="7" t="s">
        <v>7</v>
      </c>
      <c r="C31" s="7" t="s">
        <v>8</v>
      </c>
      <c r="D31" s="7" t="s">
        <v>9</v>
      </c>
      <c r="E31" s="7" t="s">
        <v>10</v>
      </c>
      <c r="G31" s="8" t="s">
        <v>62</v>
      </c>
      <c r="H31" s="7" t="s">
        <v>63</v>
      </c>
      <c r="I31" s="8">
        <v>21.0</v>
      </c>
      <c r="J31" s="9">
        <v>41.5</v>
      </c>
      <c r="K31" s="9">
        <f t="shared" ref="K31:K38" si="7">I31*J31</f>
        <v>871.5</v>
      </c>
      <c r="M31" s="12"/>
    </row>
    <row r="32" ht="14.25" customHeight="1">
      <c r="A32" s="8" t="s">
        <v>64</v>
      </c>
      <c r="B32" s="7" t="s">
        <v>43</v>
      </c>
      <c r="C32" s="13">
        <v>0.0</v>
      </c>
      <c r="D32" s="9">
        <v>85.0</v>
      </c>
      <c r="E32" s="9">
        <f t="shared" ref="E32:E35" si="8">C32*D32</f>
        <v>0</v>
      </c>
      <c r="G32" s="8" t="s">
        <v>38</v>
      </c>
      <c r="H32" s="7" t="s">
        <v>39</v>
      </c>
      <c r="I32" s="8">
        <v>13.0</v>
      </c>
      <c r="J32" s="9">
        <v>61.5</v>
      </c>
      <c r="K32" s="9">
        <f t="shared" si="7"/>
        <v>799.5</v>
      </c>
      <c r="M32" s="4" t="s">
        <v>65</v>
      </c>
      <c r="N32" s="5"/>
      <c r="O32" s="5"/>
      <c r="P32" s="5"/>
      <c r="Q32" s="6"/>
    </row>
    <row r="33" ht="14.25" customHeight="1">
      <c r="A33" s="8" t="s">
        <v>66</v>
      </c>
      <c r="B33" s="7" t="s">
        <v>24</v>
      </c>
      <c r="C33" s="15"/>
      <c r="D33" s="9">
        <v>97.0</v>
      </c>
      <c r="E33" s="9">
        <f t="shared" si="8"/>
        <v>0</v>
      </c>
      <c r="G33" s="8" t="s">
        <v>67</v>
      </c>
      <c r="H33" s="7" t="s">
        <v>45</v>
      </c>
      <c r="I33" s="8">
        <v>21.0</v>
      </c>
      <c r="J33" s="9">
        <v>61.5</v>
      </c>
      <c r="K33" s="9">
        <f t="shared" si="7"/>
        <v>1291.5</v>
      </c>
      <c r="M33" s="7" t="s">
        <v>6</v>
      </c>
      <c r="N33" s="7" t="s">
        <v>7</v>
      </c>
      <c r="O33" s="7" t="s">
        <v>8</v>
      </c>
      <c r="P33" s="7" t="s">
        <v>9</v>
      </c>
      <c r="Q33" s="7" t="s">
        <v>10</v>
      </c>
    </row>
    <row r="34" ht="14.25" customHeight="1">
      <c r="A34" s="8" t="s">
        <v>28</v>
      </c>
      <c r="B34" s="7" t="s">
        <v>29</v>
      </c>
      <c r="C34" s="15"/>
      <c r="D34" s="9">
        <v>11.0</v>
      </c>
      <c r="E34" s="9">
        <f t="shared" si="8"/>
        <v>0</v>
      </c>
      <c r="G34" s="8" t="s">
        <v>30</v>
      </c>
      <c r="H34" s="7" t="s">
        <v>31</v>
      </c>
      <c r="I34" s="8">
        <v>21.0</v>
      </c>
      <c r="J34" s="9">
        <v>60.5</v>
      </c>
      <c r="K34" s="9">
        <f t="shared" si="7"/>
        <v>1270.5</v>
      </c>
      <c r="M34" s="8" t="s">
        <v>11</v>
      </c>
      <c r="N34" s="7" t="s">
        <v>12</v>
      </c>
      <c r="O34" s="13">
        <v>0.0</v>
      </c>
      <c r="P34" s="9">
        <v>39.6</v>
      </c>
      <c r="Q34" s="9">
        <f t="shared" ref="Q34:Q41" si="9">O34*P34</f>
        <v>0</v>
      </c>
    </row>
    <row r="35" ht="14.25" customHeight="1">
      <c r="A35" s="8" t="s">
        <v>36</v>
      </c>
      <c r="B35" s="7" t="s">
        <v>37</v>
      </c>
      <c r="C35" s="16"/>
      <c r="D35" s="9">
        <v>85.0</v>
      </c>
      <c r="E35" s="9">
        <f t="shared" si="8"/>
        <v>0</v>
      </c>
      <c r="G35" s="8" t="s">
        <v>53</v>
      </c>
      <c r="H35" s="7" t="s">
        <v>16</v>
      </c>
      <c r="I35" s="8">
        <v>24.0</v>
      </c>
      <c r="J35" s="9">
        <v>19.36</v>
      </c>
      <c r="K35" s="9">
        <f t="shared" si="7"/>
        <v>464.64</v>
      </c>
      <c r="M35" s="8" t="s">
        <v>68</v>
      </c>
      <c r="N35" s="7" t="s">
        <v>69</v>
      </c>
      <c r="O35" s="15"/>
      <c r="P35" s="9">
        <v>85.0</v>
      </c>
      <c r="Q35" s="9">
        <f t="shared" si="9"/>
        <v>0</v>
      </c>
    </row>
    <row r="36" ht="14.25" customHeight="1">
      <c r="E36" s="17">
        <f>SUM(E32:E35)</f>
        <v>0</v>
      </c>
      <c r="G36" s="8" t="s">
        <v>17</v>
      </c>
      <c r="H36" s="7" t="s">
        <v>18</v>
      </c>
      <c r="I36" s="8">
        <v>10.0</v>
      </c>
      <c r="J36" s="9">
        <v>11.0</v>
      </c>
      <c r="K36" s="9">
        <f t="shared" si="7"/>
        <v>110</v>
      </c>
      <c r="M36" s="8" t="s">
        <v>40</v>
      </c>
      <c r="N36" s="7" t="s">
        <v>22</v>
      </c>
      <c r="O36" s="15"/>
      <c r="P36" s="9">
        <v>13.33</v>
      </c>
      <c r="Q36" s="9">
        <f t="shared" si="9"/>
        <v>0</v>
      </c>
    </row>
    <row r="37" ht="14.25" customHeight="1">
      <c r="G37" s="8" t="s">
        <v>26</v>
      </c>
      <c r="H37" s="7" t="s">
        <v>27</v>
      </c>
      <c r="I37" s="8">
        <v>2.0</v>
      </c>
      <c r="J37" s="9">
        <v>223.3</v>
      </c>
      <c r="K37" s="9">
        <f t="shared" si="7"/>
        <v>446.6</v>
      </c>
      <c r="M37" s="8" t="s">
        <v>34</v>
      </c>
      <c r="N37" s="7" t="s">
        <v>35</v>
      </c>
      <c r="O37" s="15"/>
      <c r="P37" s="9">
        <v>66.6</v>
      </c>
      <c r="Q37" s="9">
        <f t="shared" si="9"/>
        <v>0</v>
      </c>
    </row>
    <row r="38" ht="14.25" customHeight="1">
      <c r="G38" s="8" t="s">
        <v>11</v>
      </c>
      <c r="H38" s="7" t="s">
        <v>12</v>
      </c>
      <c r="I38" s="8"/>
      <c r="J38" s="9">
        <v>39.6</v>
      </c>
      <c r="K38" s="9">
        <f t="shared" si="7"/>
        <v>0</v>
      </c>
      <c r="M38" s="8" t="s">
        <v>21</v>
      </c>
      <c r="N38" s="7" t="s">
        <v>41</v>
      </c>
      <c r="O38" s="15"/>
      <c r="P38" s="9">
        <v>20.0</v>
      </c>
      <c r="Q38" s="9">
        <f t="shared" si="9"/>
        <v>0</v>
      </c>
    </row>
    <row r="39" ht="14.25" customHeight="1">
      <c r="A39" s="4" t="s">
        <v>70</v>
      </c>
      <c r="B39" s="5"/>
      <c r="C39" s="5"/>
      <c r="D39" s="5"/>
      <c r="E39" s="6"/>
      <c r="J39" s="18"/>
      <c r="K39" s="11">
        <f>SUM(K31:K38)</f>
        <v>5254.24</v>
      </c>
      <c r="M39" s="8" t="s">
        <v>15</v>
      </c>
      <c r="N39" s="7" t="s">
        <v>16</v>
      </c>
      <c r="O39" s="15"/>
      <c r="P39" s="9">
        <v>19.36</v>
      </c>
      <c r="Q39" s="9">
        <f t="shared" si="9"/>
        <v>0</v>
      </c>
    </row>
    <row r="40" ht="14.25" customHeight="1">
      <c r="A40" s="7" t="s">
        <v>6</v>
      </c>
      <c r="B40" s="7" t="s">
        <v>7</v>
      </c>
      <c r="C40" s="7" t="s">
        <v>8</v>
      </c>
      <c r="D40" s="7" t="s">
        <v>9</v>
      </c>
      <c r="E40" s="7" t="s">
        <v>10</v>
      </c>
      <c r="M40" s="8" t="s">
        <v>28</v>
      </c>
      <c r="N40" s="7" t="s">
        <v>29</v>
      </c>
      <c r="O40" s="15"/>
      <c r="P40" s="9">
        <v>11.0</v>
      </c>
      <c r="Q40" s="9">
        <f t="shared" si="9"/>
        <v>0</v>
      </c>
    </row>
    <row r="41" ht="14.25" customHeight="1">
      <c r="A41" s="8" t="s">
        <v>28</v>
      </c>
      <c r="B41" s="7" t="s">
        <v>29</v>
      </c>
      <c r="C41" s="8"/>
      <c r="D41" s="9">
        <v>11.0</v>
      </c>
      <c r="E41" s="9">
        <f t="shared" ref="E41:E48" si="10">C41*D41</f>
        <v>0</v>
      </c>
      <c r="G41" s="4" t="s">
        <v>48</v>
      </c>
      <c r="H41" s="5"/>
      <c r="I41" s="5"/>
      <c r="J41" s="5"/>
      <c r="K41" s="6"/>
      <c r="M41" s="8" t="s">
        <v>30</v>
      </c>
      <c r="N41" s="7" t="s">
        <v>31</v>
      </c>
      <c r="O41" s="16"/>
      <c r="P41" s="9">
        <v>60.5</v>
      </c>
      <c r="Q41" s="9">
        <f t="shared" si="9"/>
        <v>0</v>
      </c>
    </row>
    <row r="42" ht="14.25" customHeight="1">
      <c r="A42" s="8" t="s">
        <v>11</v>
      </c>
      <c r="B42" s="7" t="s">
        <v>12</v>
      </c>
      <c r="C42" s="8"/>
      <c r="D42" s="9">
        <v>39.6</v>
      </c>
      <c r="E42" s="9">
        <f t="shared" si="10"/>
        <v>0</v>
      </c>
      <c r="G42" s="7" t="s">
        <v>6</v>
      </c>
      <c r="H42" s="7" t="s">
        <v>7</v>
      </c>
      <c r="I42" s="7" t="s">
        <v>8</v>
      </c>
      <c r="J42" s="7" t="s">
        <v>9</v>
      </c>
      <c r="K42" s="7" t="s">
        <v>10</v>
      </c>
      <c r="P42" s="10"/>
      <c r="Q42" s="11">
        <f>SUM(Q34:Q41)</f>
        <v>0</v>
      </c>
    </row>
    <row r="43" ht="14.25" customHeight="1">
      <c r="A43" s="8" t="s">
        <v>64</v>
      </c>
      <c r="B43" s="7" t="s">
        <v>59</v>
      </c>
      <c r="C43" s="8">
        <v>20.0</v>
      </c>
      <c r="D43" s="9">
        <v>85.0</v>
      </c>
      <c r="E43" s="9">
        <f t="shared" si="10"/>
        <v>1700</v>
      </c>
      <c r="G43" s="8" t="s">
        <v>25</v>
      </c>
      <c r="H43" s="7" t="s">
        <v>20</v>
      </c>
      <c r="I43" s="8"/>
      <c r="J43" s="9">
        <v>13.2</v>
      </c>
      <c r="K43" s="9">
        <f t="shared" ref="K43:K54" si="11">I43*J43</f>
        <v>0</v>
      </c>
    </row>
    <row r="44" ht="14.25" customHeight="1">
      <c r="A44" s="8" t="s">
        <v>26</v>
      </c>
      <c r="B44" s="7" t="s">
        <v>27</v>
      </c>
      <c r="C44" s="8">
        <v>2.0</v>
      </c>
      <c r="D44" s="9">
        <v>223.3</v>
      </c>
      <c r="E44" s="9">
        <f t="shared" si="10"/>
        <v>446.6</v>
      </c>
      <c r="G44" s="8" t="s">
        <v>13</v>
      </c>
      <c r="H44" s="7" t="s">
        <v>14</v>
      </c>
      <c r="I44" s="8"/>
      <c r="J44" s="9">
        <v>10.0</v>
      </c>
      <c r="K44" s="9">
        <f t="shared" si="11"/>
        <v>0</v>
      </c>
    </row>
    <row r="45" ht="14.25" customHeight="1">
      <c r="A45" s="8" t="s">
        <v>30</v>
      </c>
      <c r="B45" s="7" t="s">
        <v>31</v>
      </c>
      <c r="C45" s="8"/>
      <c r="D45" s="9">
        <v>60.5</v>
      </c>
      <c r="E45" s="9">
        <f t="shared" si="10"/>
        <v>0</v>
      </c>
      <c r="G45" s="8" t="s">
        <v>17</v>
      </c>
      <c r="H45" s="7" t="s">
        <v>71</v>
      </c>
      <c r="I45" s="8"/>
      <c r="J45" s="9">
        <v>11.0</v>
      </c>
      <c r="K45" s="9">
        <f t="shared" si="11"/>
        <v>0</v>
      </c>
      <c r="M45" s="4" t="s">
        <v>72</v>
      </c>
      <c r="N45" s="5"/>
      <c r="O45" s="5"/>
      <c r="P45" s="5"/>
      <c r="Q45" s="6"/>
    </row>
    <row r="46" ht="14.25" customHeight="1">
      <c r="A46" s="8" t="s">
        <v>73</v>
      </c>
      <c r="B46" s="7" t="s">
        <v>24</v>
      </c>
      <c r="C46" s="8"/>
      <c r="D46" s="9">
        <v>97.0</v>
      </c>
      <c r="E46" s="9">
        <f t="shared" si="10"/>
        <v>0</v>
      </c>
      <c r="G46" s="8" t="s">
        <v>13</v>
      </c>
      <c r="H46" s="7" t="s">
        <v>14</v>
      </c>
      <c r="I46" s="8"/>
      <c r="J46" s="9">
        <v>10.0</v>
      </c>
      <c r="K46" s="9">
        <f t="shared" si="11"/>
        <v>0</v>
      </c>
      <c r="M46" s="7" t="s">
        <v>6</v>
      </c>
      <c r="N46" s="7" t="s">
        <v>7</v>
      </c>
      <c r="O46" s="7" t="s">
        <v>8</v>
      </c>
      <c r="P46" s="7" t="s">
        <v>9</v>
      </c>
      <c r="Q46" s="7" t="s">
        <v>10</v>
      </c>
    </row>
    <row r="47" ht="14.25" customHeight="1">
      <c r="A47" s="8" t="s">
        <v>36</v>
      </c>
      <c r="B47" s="7" t="s">
        <v>37</v>
      </c>
      <c r="C47" s="8"/>
      <c r="D47" s="9">
        <v>85.0</v>
      </c>
      <c r="E47" s="9">
        <f t="shared" si="10"/>
        <v>0</v>
      </c>
      <c r="G47" s="8" t="s">
        <v>15</v>
      </c>
      <c r="H47" s="7" t="s">
        <v>16</v>
      </c>
      <c r="I47" s="8">
        <v>10.0</v>
      </c>
      <c r="J47" s="9">
        <v>19.36</v>
      </c>
      <c r="K47" s="9">
        <f t="shared" si="11"/>
        <v>193.6</v>
      </c>
      <c r="M47" s="8" t="s">
        <v>11</v>
      </c>
      <c r="N47" s="7" t="s">
        <v>12</v>
      </c>
      <c r="O47" s="8">
        <v>4.0</v>
      </c>
      <c r="P47" s="9">
        <v>39.6</v>
      </c>
      <c r="Q47" s="9">
        <f t="shared" ref="Q47:Q57" si="12">O47*P47</f>
        <v>158.4</v>
      </c>
    </row>
    <row r="48" ht="30.75" customHeight="1">
      <c r="A48" s="8" t="s">
        <v>74</v>
      </c>
      <c r="B48" s="7" t="s">
        <v>43</v>
      </c>
      <c r="C48" s="8"/>
      <c r="D48" s="9">
        <v>85.0</v>
      </c>
      <c r="E48" s="9">
        <f t="shared" si="10"/>
        <v>0</v>
      </c>
      <c r="G48" s="8" t="s">
        <v>30</v>
      </c>
      <c r="H48" s="7" t="s">
        <v>31</v>
      </c>
      <c r="I48" s="8">
        <v>10.0</v>
      </c>
      <c r="J48" s="9">
        <v>60.5</v>
      </c>
      <c r="K48" s="9">
        <f t="shared" si="11"/>
        <v>605</v>
      </c>
      <c r="M48" s="8" t="s">
        <v>26</v>
      </c>
      <c r="N48" s="7" t="s">
        <v>27</v>
      </c>
      <c r="O48" s="8">
        <v>2.0</v>
      </c>
      <c r="P48" s="9">
        <v>223.3</v>
      </c>
      <c r="Q48" s="9">
        <f t="shared" si="12"/>
        <v>446.6</v>
      </c>
    </row>
    <row r="49" ht="14.25" customHeight="1">
      <c r="D49" s="10"/>
      <c r="E49" s="11">
        <f>SUM(E41:E48)</f>
        <v>2146.6</v>
      </c>
      <c r="G49" s="8" t="s">
        <v>38</v>
      </c>
      <c r="H49" s="7" t="s">
        <v>39</v>
      </c>
      <c r="I49" s="8">
        <v>17.0</v>
      </c>
      <c r="J49" s="9">
        <v>61.5</v>
      </c>
      <c r="K49" s="9">
        <f t="shared" si="11"/>
        <v>1045.5</v>
      </c>
      <c r="M49" s="8" t="s">
        <v>68</v>
      </c>
      <c r="N49" s="7" t="s">
        <v>69</v>
      </c>
      <c r="O49" s="8"/>
      <c r="P49" s="9">
        <v>85.0</v>
      </c>
      <c r="Q49" s="9">
        <f t="shared" si="12"/>
        <v>0</v>
      </c>
    </row>
    <row r="50" ht="14.25" customHeight="1">
      <c r="G50" s="8" t="s">
        <v>75</v>
      </c>
      <c r="H50" s="7" t="s">
        <v>76</v>
      </c>
      <c r="I50" s="8"/>
      <c r="J50" s="9">
        <v>61.5</v>
      </c>
      <c r="K50" s="9">
        <f t="shared" si="11"/>
        <v>0</v>
      </c>
      <c r="M50" s="8" t="s">
        <v>19</v>
      </c>
      <c r="N50" s="7" t="s">
        <v>77</v>
      </c>
      <c r="O50" s="8">
        <v>7.0</v>
      </c>
      <c r="P50" s="9">
        <v>13.2</v>
      </c>
      <c r="Q50" s="9">
        <f t="shared" si="12"/>
        <v>92.4</v>
      </c>
    </row>
    <row r="51" ht="14.25" customHeight="1">
      <c r="G51" s="19" t="s">
        <v>78</v>
      </c>
      <c r="H51" s="7" t="s">
        <v>79</v>
      </c>
      <c r="I51" s="8">
        <v>20.0</v>
      </c>
      <c r="J51" s="9">
        <v>61.5</v>
      </c>
      <c r="K51" s="9">
        <f t="shared" si="11"/>
        <v>1230</v>
      </c>
      <c r="M51" s="8" t="s">
        <v>57</v>
      </c>
      <c r="N51" s="7" t="s">
        <v>22</v>
      </c>
      <c r="O51" s="8"/>
      <c r="P51" s="9">
        <v>20.0</v>
      </c>
      <c r="Q51" s="9">
        <f t="shared" si="12"/>
        <v>0</v>
      </c>
    </row>
    <row r="52" ht="14.25" customHeight="1">
      <c r="B52" s="20" t="s">
        <v>80</v>
      </c>
      <c r="G52" s="8" t="s">
        <v>46</v>
      </c>
      <c r="H52" s="7" t="s">
        <v>81</v>
      </c>
      <c r="I52" s="8">
        <v>15.0</v>
      </c>
      <c r="J52" s="9">
        <v>41.5</v>
      </c>
      <c r="K52" s="9">
        <f t="shared" si="11"/>
        <v>622.5</v>
      </c>
      <c r="M52" s="8" t="s">
        <v>53</v>
      </c>
      <c r="N52" s="7" t="s">
        <v>16</v>
      </c>
      <c r="O52" s="8"/>
      <c r="P52" s="9">
        <v>19.36</v>
      </c>
      <c r="Q52" s="9">
        <f t="shared" si="12"/>
        <v>0</v>
      </c>
    </row>
    <row r="53" ht="14.25" customHeight="1">
      <c r="B53" s="20" t="s">
        <v>10</v>
      </c>
      <c r="C53" s="14">
        <f>E49+E36+E28+E14</f>
        <v>6919.4</v>
      </c>
      <c r="G53" s="8" t="s">
        <v>82</v>
      </c>
      <c r="H53" s="7" t="s">
        <v>18</v>
      </c>
      <c r="I53" s="8">
        <v>6.0</v>
      </c>
      <c r="J53" s="9">
        <v>11.0</v>
      </c>
      <c r="K53" s="9">
        <f t="shared" si="11"/>
        <v>66</v>
      </c>
      <c r="M53" s="8" t="s">
        <v>34</v>
      </c>
      <c r="N53" s="7" t="s">
        <v>35</v>
      </c>
      <c r="O53" s="8"/>
      <c r="P53" s="9">
        <v>66.6</v>
      </c>
      <c r="Q53" s="9">
        <f t="shared" si="12"/>
        <v>0</v>
      </c>
    </row>
    <row r="54" ht="14.25" customHeight="1">
      <c r="B54" s="20" t="s">
        <v>83</v>
      </c>
      <c r="C54" s="21">
        <v>692.0</v>
      </c>
      <c r="G54" s="8" t="s">
        <v>11</v>
      </c>
      <c r="H54" s="7" t="s">
        <v>12</v>
      </c>
      <c r="I54" s="8"/>
      <c r="J54" s="9">
        <v>39.6</v>
      </c>
      <c r="K54" s="9">
        <f t="shared" si="11"/>
        <v>0</v>
      </c>
      <c r="M54" s="8" t="s">
        <v>84</v>
      </c>
      <c r="N54" s="7" t="s">
        <v>85</v>
      </c>
      <c r="O54" s="8"/>
      <c r="P54" s="9">
        <v>20.0</v>
      </c>
      <c r="Q54" s="9">
        <f t="shared" si="12"/>
        <v>0</v>
      </c>
    </row>
    <row r="55" ht="14.25" customHeight="1">
      <c r="J55" s="18"/>
      <c r="K55" s="11">
        <f>SUM(K43:K54)</f>
        <v>3762.6</v>
      </c>
      <c r="M55" s="8" t="s">
        <v>15</v>
      </c>
      <c r="N55" s="7" t="s">
        <v>16</v>
      </c>
      <c r="O55" s="8">
        <v>4.0</v>
      </c>
      <c r="P55" s="9">
        <v>19.36</v>
      </c>
      <c r="Q55" s="9">
        <f t="shared" si="12"/>
        <v>77.44</v>
      </c>
    </row>
    <row r="56" ht="14.25" customHeight="1">
      <c r="M56" s="8" t="s">
        <v>28</v>
      </c>
      <c r="N56" s="7" t="s">
        <v>29</v>
      </c>
      <c r="O56" s="8"/>
      <c r="P56" s="9">
        <v>11.0</v>
      </c>
      <c r="Q56" s="9">
        <f t="shared" si="12"/>
        <v>0</v>
      </c>
    </row>
    <row r="57" ht="14.25" customHeight="1">
      <c r="G57" s="4" t="s">
        <v>72</v>
      </c>
      <c r="H57" s="5"/>
      <c r="I57" s="5"/>
      <c r="J57" s="5"/>
      <c r="K57" s="6"/>
      <c r="M57" s="8" t="s">
        <v>30</v>
      </c>
      <c r="N57" s="7" t="s">
        <v>31</v>
      </c>
      <c r="O57" s="8">
        <v>6.0</v>
      </c>
      <c r="P57" s="9">
        <v>60.5</v>
      </c>
      <c r="Q57" s="9">
        <f t="shared" si="12"/>
        <v>363</v>
      </c>
    </row>
    <row r="58" ht="14.25" customHeight="1">
      <c r="G58" s="7" t="s">
        <v>6</v>
      </c>
      <c r="H58" s="7" t="s">
        <v>7</v>
      </c>
      <c r="I58" s="7" t="s">
        <v>8</v>
      </c>
      <c r="J58" s="7" t="s">
        <v>9</v>
      </c>
      <c r="K58" s="7" t="s">
        <v>10</v>
      </c>
      <c r="P58" s="10"/>
      <c r="Q58" s="11">
        <f>SUM(Q47:Q57)</f>
        <v>1137.84</v>
      </c>
    </row>
    <row r="59" ht="14.25" customHeight="1">
      <c r="G59" s="8" t="s">
        <v>13</v>
      </c>
      <c r="H59" s="7" t="s">
        <v>14</v>
      </c>
      <c r="I59" s="8"/>
      <c r="J59" s="9">
        <v>10.0</v>
      </c>
      <c r="K59" s="9">
        <f t="shared" ref="K59:K65" si="13">I59*J59</f>
        <v>0</v>
      </c>
    </row>
    <row r="60" ht="14.25" customHeight="1">
      <c r="G60" s="8" t="s">
        <v>82</v>
      </c>
      <c r="H60" s="7" t="s">
        <v>18</v>
      </c>
      <c r="I60" s="8">
        <v>15.0</v>
      </c>
      <c r="J60" s="9">
        <v>11.0</v>
      </c>
      <c r="K60" s="9">
        <f t="shared" si="13"/>
        <v>165</v>
      </c>
    </row>
    <row r="61" ht="14.25" customHeight="1">
      <c r="G61" s="8" t="s">
        <v>38</v>
      </c>
      <c r="H61" s="7" t="s">
        <v>39</v>
      </c>
      <c r="I61" s="8"/>
      <c r="J61" s="9">
        <v>61.5</v>
      </c>
      <c r="K61" s="9">
        <f t="shared" si="13"/>
        <v>0</v>
      </c>
      <c r="M61" s="4" t="s">
        <v>60</v>
      </c>
      <c r="N61" s="5"/>
      <c r="O61" s="5"/>
      <c r="P61" s="5"/>
      <c r="Q61" s="6"/>
    </row>
    <row r="62" ht="14.25" customHeight="1">
      <c r="G62" s="8" t="s">
        <v>30</v>
      </c>
      <c r="H62" s="7" t="s">
        <v>31</v>
      </c>
      <c r="I62" s="8">
        <v>10.0</v>
      </c>
      <c r="J62" s="9">
        <v>60.5</v>
      </c>
      <c r="K62" s="9">
        <f t="shared" si="13"/>
        <v>605</v>
      </c>
      <c r="M62" s="7" t="s">
        <v>6</v>
      </c>
      <c r="N62" s="7" t="s">
        <v>7</v>
      </c>
      <c r="O62" s="7" t="s">
        <v>8</v>
      </c>
      <c r="P62" s="7" t="s">
        <v>9</v>
      </c>
      <c r="Q62" s="7" t="s">
        <v>10</v>
      </c>
    </row>
    <row r="63" ht="14.25" customHeight="1">
      <c r="G63" s="8" t="s">
        <v>44</v>
      </c>
      <c r="H63" s="7" t="s">
        <v>45</v>
      </c>
      <c r="I63" s="8">
        <v>11.0</v>
      </c>
      <c r="J63" s="9">
        <v>61.5</v>
      </c>
      <c r="K63" s="9">
        <f t="shared" si="13"/>
        <v>676.5</v>
      </c>
      <c r="M63" s="8" t="s">
        <v>25</v>
      </c>
      <c r="N63" s="7" t="s">
        <v>86</v>
      </c>
      <c r="O63" s="8">
        <v>9.0</v>
      </c>
      <c r="P63" s="8">
        <v>13.2</v>
      </c>
      <c r="Q63" s="9">
        <f t="shared" ref="Q63:Q74" si="14">O63*P63</f>
        <v>118.8</v>
      </c>
    </row>
    <row r="64" ht="14.25" customHeight="1">
      <c r="G64" s="8" t="s">
        <v>15</v>
      </c>
      <c r="H64" s="7" t="s">
        <v>16</v>
      </c>
      <c r="I64" s="8">
        <v>10.0</v>
      </c>
      <c r="J64" s="9">
        <v>19.36</v>
      </c>
      <c r="K64" s="9">
        <f t="shared" si="13"/>
        <v>193.6</v>
      </c>
      <c r="M64" s="8" t="s">
        <v>21</v>
      </c>
      <c r="N64" s="7" t="s">
        <v>87</v>
      </c>
      <c r="O64" s="8"/>
      <c r="P64" s="8">
        <v>20.0</v>
      </c>
      <c r="Q64" s="9">
        <f t="shared" si="14"/>
        <v>0</v>
      </c>
    </row>
    <row r="65" ht="14.25" customHeight="1">
      <c r="G65" s="8" t="s">
        <v>11</v>
      </c>
      <c r="H65" s="7" t="s">
        <v>12</v>
      </c>
      <c r="I65" s="8"/>
      <c r="J65" s="9">
        <v>39.6</v>
      </c>
      <c r="K65" s="9">
        <f t="shared" si="13"/>
        <v>0</v>
      </c>
      <c r="M65" s="8" t="s">
        <v>40</v>
      </c>
      <c r="N65" s="7" t="s">
        <v>87</v>
      </c>
      <c r="O65" s="8"/>
      <c r="P65" s="8">
        <v>13.13</v>
      </c>
      <c r="Q65" s="9">
        <f t="shared" si="14"/>
        <v>0</v>
      </c>
    </row>
    <row r="66" ht="14.25" customHeight="1">
      <c r="J66" s="18"/>
      <c r="K66" s="11">
        <f>SUM(K59:K65)</f>
        <v>1640.1</v>
      </c>
      <c r="M66" s="8" t="s">
        <v>88</v>
      </c>
      <c r="N66" s="7" t="s">
        <v>89</v>
      </c>
      <c r="O66" s="8"/>
      <c r="P66" s="8">
        <v>19.36</v>
      </c>
      <c r="Q66" s="9">
        <f t="shared" si="14"/>
        <v>0</v>
      </c>
    </row>
    <row r="67" ht="14.25" customHeight="1">
      <c r="M67" s="8" t="s">
        <v>34</v>
      </c>
      <c r="N67" s="7" t="s">
        <v>35</v>
      </c>
      <c r="O67" s="8">
        <v>20.0</v>
      </c>
      <c r="P67" s="9">
        <v>66.6</v>
      </c>
      <c r="Q67" s="9">
        <f t="shared" si="14"/>
        <v>1332</v>
      </c>
    </row>
    <row r="68" ht="14.25" customHeight="1">
      <c r="G68" s="4" t="s">
        <v>90</v>
      </c>
      <c r="H68" s="5"/>
      <c r="I68" s="5"/>
      <c r="J68" s="5"/>
      <c r="K68" s="6"/>
      <c r="M68" s="8" t="s">
        <v>11</v>
      </c>
      <c r="N68" s="7" t="s">
        <v>12</v>
      </c>
      <c r="O68" s="8">
        <v>3.0</v>
      </c>
      <c r="P68" s="9">
        <v>39.6</v>
      </c>
      <c r="Q68" s="9">
        <f t="shared" si="14"/>
        <v>118.8</v>
      </c>
    </row>
    <row r="69" ht="14.25" customHeight="1">
      <c r="G69" s="7" t="s">
        <v>6</v>
      </c>
      <c r="H69" s="7" t="s">
        <v>7</v>
      </c>
      <c r="I69" s="7" t="s">
        <v>8</v>
      </c>
      <c r="J69" s="7" t="s">
        <v>9</v>
      </c>
      <c r="K69" s="7" t="s">
        <v>10</v>
      </c>
      <c r="M69" s="8" t="s">
        <v>91</v>
      </c>
      <c r="N69" s="7" t="s">
        <v>55</v>
      </c>
      <c r="O69" s="8"/>
      <c r="P69" s="9">
        <v>60.5</v>
      </c>
      <c r="Q69" s="9">
        <f t="shared" si="14"/>
        <v>0</v>
      </c>
    </row>
    <row r="70" ht="14.25" customHeight="1">
      <c r="G70" s="8" t="s">
        <v>92</v>
      </c>
      <c r="H70" s="7" t="s">
        <v>18</v>
      </c>
      <c r="I70" s="8">
        <v>25.0</v>
      </c>
      <c r="J70" s="9">
        <v>11.0</v>
      </c>
      <c r="K70" s="9">
        <f t="shared" ref="K70:K80" si="15">I70*J70</f>
        <v>275</v>
      </c>
      <c r="M70" s="8" t="s">
        <v>26</v>
      </c>
      <c r="N70" s="7" t="s">
        <v>27</v>
      </c>
      <c r="O70" s="8">
        <v>3.0</v>
      </c>
      <c r="P70" s="9">
        <v>223.3</v>
      </c>
      <c r="Q70" s="9">
        <f t="shared" si="14"/>
        <v>669.9</v>
      </c>
    </row>
    <row r="71" ht="14.25" customHeight="1">
      <c r="G71" s="8" t="s">
        <v>53</v>
      </c>
      <c r="H71" s="7" t="s">
        <v>16</v>
      </c>
      <c r="I71" s="8"/>
      <c r="J71" s="9">
        <v>19.36</v>
      </c>
      <c r="K71" s="9">
        <f t="shared" si="15"/>
        <v>0</v>
      </c>
      <c r="M71" s="8" t="s">
        <v>36</v>
      </c>
      <c r="N71" s="7" t="s">
        <v>93</v>
      </c>
      <c r="O71" s="8"/>
      <c r="P71" s="9">
        <v>85.0</v>
      </c>
      <c r="Q71" s="9">
        <f t="shared" si="14"/>
        <v>0</v>
      </c>
    </row>
    <row r="72" ht="14.25" customHeight="1">
      <c r="G72" s="8" t="s">
        <v>46</v>
      </c>
      <c r="H72" s="7" t="s">
        <v>81</v>
      </c>
      <c r="I72" s="8"/>
      <c r="J72" s="9">
        <v>41.5</v>
      </c>
      <c r="K72" s="9">
        <f t="shared" si="15"/>
        <v>0</v>
      </c>
      <c r="M72" s="8" t="s">
        <v>15</v>
      </c>
      <c r="N72" s="7" t="s">
        <v>16</v>
      </c>
      <c r="O72" s="8">
        <v>3.0</v>
      </c>
      <c r="P72" s="9">
        <v>19.36</v>
      </c>
      <c r="Q72" s="9">
        <f t="shared" si="14"/>
        <v>58.08</v>
      </c>
    </row>
    <row r="73" ht="14.25" customHeight="1">
      <c r="G73" s="8" t="s">
        <v>30</v>
      </c>
      <c r="H73" s="7" t="s">
        <v>31</v>
      </c>
      <c r="I73" s="8"/>
      <c r="J73" s="9">
        <v>60.5</v>
      </c>
      <c r="K73" s="9">
        <f t="shared" si="15"/>
        <v>0</v>
      </c>
      <c r="M73" s="8" t="s">
        <v>28</v>
      </c>
      <c r="N73" s="7" t="s">
        <v>29</v>
      </c>
      <c r="O73" s="8">
        <v>3.0</v>
      </c>
      <c r="P73" s="9">
        <v>11.0</v>
      </c>
      <c r="Q73" s="9">
        <f t="shared" si="14"/>
        <v>33</v>
      </c>
    </row>
    <row r="74" ht="14.25" customHeight="1">
      <c r="G74" s="8" t="s">
        <v>38</v>
      </c>
      <c r="H74" s="7" t="s">
        <v>39</v>
      </c>
      <c r="I74" s="8"/>
      <c r="J74" s="9">
        <v>61.5</v>
      </c>
      <c r="K74" s="9">
        <f t="shared" si="15"/>
        <v>0</v>
      </c>
      <c r="M74" s="8" t="s">
        <v>30</v>
      </c>
      <c r="N74" s="7" t="s">
        <v>31</v>
      </c>
      <c r="O74" s="8">
        <v>3.0</v>
      </c>
      <c r="P74" s="9">
        <v>60.5</v>
      </c>
      <c r="Q74" s="9">
        <f t="shared" si="14"/>
        <v>181.5</v>
      </c>
    </row>
    <row r="75" ht="14.25" customHeight="1">
      <c r="G75" s="8" t="s">
        <v>44</v>
      </c>
      <c r="H75" s="7" t="s">
        <v>45</v>
      </c>
      <c r="I75" s="8">
        <v>4.0</v>
      </c>
      <c r="J75" s="9">
        <v>61.5</v>
      </c>
      <c r="K75" s="9">
        <f t="shared" si="15"/>
        <v>246</v>
      </c>
      <c r="P75" s="10"/>
      <c r="Q75" s="11">
        <f>Q63+Q64+Q65+Q66+Q68+Q69+Q70+Q71+Q72+Q73+Q74+Q67</f>
        <v>2512.08</v>
      </c>
    </row>
    <row r="76" ht="14.25" customHeight="1">
      <c r="G76" s="8" t="s">
        <v>62</v>
      </c>
      <c r="H76" s="7" t="s">
        <v>94</v>
      </c>
      <c r="I76" s="8"/>
      <c r="J76" s="9">
        <v>41.5</v>
      </c>
      <c r="K76" s="9">
        <f t="shared" si="15"/>
        <v>0</v>
      </c>
    </row>
    <row r="77" ht="14.25" customHeight="1">
      <c r="G77" s="8" t="s">
        <v>11</v>
      </c>
      <c r="H77" s="7" t="s">
        <v>12</v>
      </c>
      <c r="I77" s="8">
        <v>12.0</v>
      </c>
      <c r="J77" s="9">
        <v>39.6</v>
      </c>
      <c r="K77" s="9">
        <f t="shared" si="15"/>
        <v>475.2</v>
      </c>
    </row>
    <row r="78" ht="14.25" customHeight="1">
      <c r="G78" s="8" t="s">
        <v>82</v>
      </c>
      <c r="H78" s="7" t="s">
        <v>18</v>
      </c>
      <c r="I78" s="8"/>
      <c r="J78" s="9">
        <v>11.0</v>
      </c>
      <c r="K78" s="9">
        <f t="shared" si="15"/>
        <v>0</v>
      </c>
      <c r="M78" s="4" t="s">
        <v>95</v>
      </c>
      <c r="N78" s="5"/>
      <c r="O78" s="5"/>
      <c r="P78" s="5"/>
      <c r="Q78" s="6"/>
    </row>
    <row r="79" ht="14.25" customHeight="1">
      <c r="G79" s="8" t="s">
        <v>15</v>
      </c>
      <c r="H79" s="7" t="s">
        <v>16</v>
      </c>
      <c r="I79" s="8">
        <v>15.0</v>
      </c>
      <c r="J79" s="9">
        <v>19.36</v>
      </c>
      <c r="K79" s="9">
        <f t="shared" si="15"/>
        <v>290.4</v>
      </c>
      <c r="M79" s="7" t="s">
        <v>6</v>
      </c>
      <c r="N79" s="7" t="s">
        <v>7</v>
      </c>
      <c r="O79" s="7" t="s">
        <v>8</v>
      </c>
      <c r="P79" s="7" t="s">
        <v>9</v>
      </c>
      <c r="Q79" s="7" t="s">
        <v>10</v>
      </c>
    </row>
    <row r="80" ht="14.25" customHeight="1">
      <c r="G80" s="8" t="s">
        <v>13</v>
      </c>
      <c r="H80" s="7" t="s">
        <v>14</v>
      </c>
      <c r="I80" s="8"/>
      <c r="J80" s="9">
        <v>10.0</v>
      </c>
      <c r="K80" s="9">
        <f t="shared" si="15"/>
        <v>0</v>
      </c>
      <c r="M80" s="8" t="s">
        <v>11</v>
      </c>
      <c r="N80" s="7" t="s">
        <v>12</v>
      </c>
      <c r="O80" s="13">
        <v>0.0</v>
      </c>
      <c r="P80" s="9">
        <v>39.6</v>
      </c>
      <c r="Q80" s="9">
        <f t="shared" ref="Q80:Q86" si="16">O80*P80</f>
        <v>0</v>
      </c>
    </row>
    <row r="81" ht="14.25" customHeight="1">
      <c r="K81" s="11">
        <f>SUM(K70:K80)</f>
        <v>1286.6</v>
      </c>
      <c r="M81" s="8" t="s">
        <v>96</v>
      </c>
      <c r="N81" s="7" t="s">
        <v>55</v>
      </c>
      <c r="O81" s="15"/>
      <c r="P81" s="9">
        <v>60.5</v>
      </c>
      <c r="Q81" s="9">
        <f t="shared" si="16"/>
        <v>0</v>
      </c>
    </row>
    <row r="82" ht="14.25" customHeight="1">
      <c r="M82" s="8" t="s">
        <v>26</v>
      </c>
      <c r="N82" s="7" t="s">
        <v>27</v>
      </c>
      <c r="O82" s="15"/>
      <c r="P82" s="9">
        <v>223.3</v>
      </c>
      <c r="Q82" s="9">
        <f t="shared" si="16"/>
        <v>0</v>
      </c>
    </row>
    <row r="83" ht="14.25" customHeight="1">
      <c r="G83" s="4" t="s">
        <v>97</v>
      </c>
      <c r="H83" s="5"/>
      <c r="I83" s="5"/>
      <c r="J83" s="5"/>
      <c r="K83" s="6"/>
      <c r="M83" s="8" t="s">
        <v>36</v>
      </c>
      <c r="N83" s="7" t="s">
        <v>93</v>
      </c>
      <c r="O83" s="15"/>
      <c r="P83" s="9">
        <v>85.0</v>
      </c>
      <c r="Q83" s="9">
        <f t="shared" si="16"/>
        <v>0</v>
      </c>
    </row>
    <row r="84" ht="14.25" customHeight="1">
      <c r="G84" s="7" t="s">
        <v>6</v>
      </c>
      <c r="H84" s="7" t="s">
        <v>7</v>
      </c>
      <c r="I84" s="7" t="s">
        <v>8</v>
      </c>
      <c r="J84" s="7" t="s">
        <v>9</v>
      </c>
      <c r="K84" s="7" t="s">
        <v>10</v>
      </c>
      <c r="M84" s="8" t="s">
        <v>15</v>
      </c>
      <c r="N84" s="7" t="s">
        <v>16</v>
      </c>
      <c r="O84" s="15"/>
      <c r="P84" s="9">
        <v>19.36</v>
      </c>
      <c r="Q84" s="9">
        <f t="shared" si="16"/>
        <v>0</v>
      </c>
    </row>
    <row r="85" ht="14.25" customHeight="1">
      <c r="G85" s="8" t="s">
        <v>98</v>
      </c>
      <c r="H85" s="7" t="s">
        <v>18</v>
      </c>
      <c r="I85" s="8"/>
      <c r="J85" s="9">
        <v>11.0</v>
      </c>
      <c r="K85" s="22">
        <f t="shared" ref="K85:K95" si="17">I85*J85</f>
        <v>0</v>
      </c>
      <c r="M85" s="8" t="s">
        <v>28</v>
      </c>
      <c r="N85" s="7" t="s">
        <v>29</v>
      </c>
      <c r="O85" s="15"/>
      <c r="P85" s="9">
        <v>11.0</v>
      </c>
      <c r="Q85" s="9">
        <f t="shared" si="16"/>
        <v>0</v>
      </c>
    </row>
    <row r="86" ht="14.25" customHeight="1">
      <c r="G86" s="8" t="s">
        <v>13</v>
      </c>
      <c r="H86" s="7" t="s">
        <v>14</v>
      </c>
      <c r="I86" s="8"/>
      <c r="J86" s="9">
        <v>10.0</v>
      </c>
      <c r="K86" s="22">
        <f t="shared" si="17"/>
        <v>0</v>
      </c>
      <c r="M86" s="8" t="s">
        <v>30</v>
      </c>
      <c r="N86" s="7" t="s">
        <v>31</v>
      </c>
      <c r="O86" s="16"/>
      <c r="P86" s="9">
        <v>60.5</v>
      </c>
      <c r="Q86" s="9">
        <f t="shared" si="16"/>
        <v>0</v>
      </c>
    </row>
    <row r="87" ht="14.25" customHeight="1">
      <c r="G87" s="8" t="s">
        <v>99</v>
      </c>
      <c r="H87" s="7" t="s">
        <v>100</v>
      </c>
      <c r="I87" s="8"/>
      <c r="J87" s="9">
        <v>60.5</v>
      </c>
      <c r="K87" s="22">
        <f t="shared" si="17"/>
        <v>0</v>
      </c>
      <c r="P87" s="10"/>
      <c r="Q87" s="11">
        <f>SUM(Q80:Q86)</f>
        <v>0</v>
      </c>
    </row>
    <row r="88" ht="14.25" customHeight="1">
      <c r="G88" s="8" t="s">
        <v>30</v>
      </c>
      <c r="H88" s="7" t="s">
        <v>31</v>
      </c>
      <c r="I88" s="8">
        <v>44.0</v>
      </c>
      <c r="J88" s="9">
        <v>60.5</v>
      </c>
      <c r="K88" s="22">
        <f t="shared" si="17"/>
        <v>2662</v>
      </c>
    </row>
    <row r="89" ht="14.25" customHeight="1">
      <c r="G89" s="8" t="s">
        <v>28</v>
      </c>
      <c r="H89" s="7" t="s">
        <v>29</v>
      </c>
      <c r="I89" s="8">
        <v>24.0</v>
      </c>
      <c r="J89" s="9">
        <v>11.0</v>
      </c>
      <c r="K89" s="9">
        <f t="shared" si="17"/>
        <v>264</v>
      </c>
    </row>
    <row r="90" ht="14.25" customHeight="1">
      <c r="G90" s="8" t="s">
        <v>11</v>
      </c>
      <c r="H90" s="7" t="s">
        <v>12</v>
      </c>
      <c r="I90" s="8">
        <v>4.0</v>
      </c>
      <c r="J90" s="9">
        <v>39.6</v>
      </c>
      <c r="K90" s="9">
        <f t="shared" si="17"/>
        <v>158.4</v>
      </c>
      <c r="M90" s="4" t="s">
        <v>101</v>
      </c>
      <c r="N90" s="5"/>
      <c r="O90" s="5"/>
      <c r="P90" s="5"/>
      <c r="Q90" s="6"/>
    </row>
    <row r="91" ht="14.25" customHeight="1">
      <c r="G91" s="8" t="s">
        <v>53</v>
      </c>
      <c r="H91" s="7" t="s">
        <v>16</v>
      </c>
      <c r="I91" s="8">
        <v>30.0</v>
      </c>
      <c r="J91" s="9">
        <v>19.36</v>
      </c>
      <c r="K91" s="22">
        <f t="shared" si="17"/>
        <v>580.8</v>
      </c>
      <c r="M91" s="7" t="s">
        <v>6</v>
      </c>
      <c r="N91" s="7" t="s">
        <v>7</v>
      </c>
      <c r="O91" s="7" t="s">
        <v>8</v>
      </c>
      <c r="P91" s="7" t="s">
        <v>9</v>
      </c>
      <c r="Q91" s="7" t="s">
        <v>10</v>
      </c>
    </row>
    <row r="92" ht="14.25" customHeight="1">
      <c r="G92" s="8" t="s">
        <v>15</v>
      </c>
      <c r="H92" s="7" t="s">
        <v>16</v>
      </c>
      <c r="I92" s="8">
        <v>11.0</v>
      </c>
      <c r="J92" s="9">
        <v>19.36</v>
      </c>
      <c r="K92" s="9">
        <f t="shared" si="17"/>
        <v>212.96</v>
      </c>
      <c r="M92" s="8" t="s">
        <v>11</v>
      </c>
      <c r="N92" s="7" t="s">
        <v>12</v>
      </c>
      <c r="O92" s="13">
        <v>0.0</v>
      </c>
      <c r="P92" s="9">
        <v>39.6</v>
      </c>
      <c r="Q92" s="9">
        <f t="shared" ref="Q92:Q101" si="18">O92*P92</f>
        <v>0</v>
      </c>
    </row>
    <row r="93" ht="14.25" customHeight="1">
      <c r="G93" s="8" t="s">
        <v>62</v>
      </c>
      <c r="H93" s="7" t="s">
        <v>94</v>
      </c>
      <c r="I93" s="8">
        <v>5.0</v>
      </c>
      <c r="J93" s="9">
        <v>41.5</v>
      </c>
      <c r="K93" s="22">
        <f t="shared" si="17"/>
        <v>207.5</v>
      </c>
      <c r="M93" s="8" t="s">
        <v>96</v>
      </c>
      <c r="N93" s="7" t="s">
        <v>55</v>
      </c>
      <c r="O93" s="15"/>
      <c r="P93" s="9">
        <v>60.5</v>
      </c>
      <c r="Q93" s="9">
        <f t="shared" si="18"/>
        <v>0</v>
      </c>
    </row>
    <row r="94" ht="14.25" customHeight="1">
      <c r="G94" s="8" t="s">
        <v>44</v>
      </c>
      <c r="H94" s="7" t="s">
        <v>102</v>
      </c>
      <c r="I94" s="8"/>
      <c r="J94" s="9">
        <v>64.5</v>
      </c>
      <c r="K94" s="9">
        <f t="shared" si="17"/>
        <v>0</v>
      </c>
      <c r="M94" s="8" t="s">
        <v>26</v>
      </c>
      <c r="N94" s="7" t="s">
        <v>27</v>
      </c>
      <c r="O94" s="15"/>
      <c r="P94" s="9">
        <v>223.3</v>
      </c>
      <c r="Q94" s="9">
        <f t="shared" si="18"/>
        <v>0</v>
      </c>
    </row>
    <row r="95" ht="14.25" customHeight="1">
      <c r="G95" s="8" t="s">
        <v>44</v>
      </c>
      <c r="H95" s="7" t="s">
        <v>45</v>
      </c>
      <c r="I95" s="8">
        <v>54.0</v>
      </c>
      <c r="J95" s="9">
        <v>61.5</v>
      </c>
      <c r="K95" s="9">
        <f t="shared" si="17"/>
        <v>3321</v>
      </c>
      <c r="M95" s="8" t="s">
        <v>36</v>
      </c>
      <c r="N95" s="7" t="s">
        <v>93</v>
      </c>
      <c r="O95" s="15"/>
      <c r="P95" s="9">
        <v>85.0</v>
      </c>
      <c r="Q95" s="9">
        <f t="shared" si="18"/>
        <v>0</v>
      </c>
    </row>
    <row r="96" ht="14.25" customHeight="1">
      <c r="K96" s="11">
        <f>SUM(K85:K95)</f>
        <v>7406.66</v>
      </c>
      <c r="M96" s="8" t="s">
        <v>15</v>
      </c>
      <c r="N96" s="7" t="s">
        <v>16</v>
      </c>
      <c r="O96" s="15"/>
      <c r="P96" s="9">
        <v>19.36</v>
      </c>
      <c r="Q96" s="9">
        <f t="shared" si="18"/>
        <v>0</v>
      </c>
    </row>
    <row r="97" ht="14.25" customHeight="1">
      <c r="M97" s="8" t="s">
        <v>46</v>
      </c>
      <c r="N97" s="7" t="s">
        <v>47</v>
      </c>
      <c r="O97" s="15"/>
      <c r="P97" s="9">
        <v>41.5</v>
      </c>
      <c r="Q97" s="9">
        <f t="shared" si="18"/>
        <v>0</v>
      </c>
    </row>
    <row r="98" ht="14.25" customHeight="1">
      <c r="M98" s="8" t="s">
        <v>103</v>
      </c>
      <c r="N98" s="7" t="s">
        <v>104</v>
      </c>
      <c r="O98" s="15"/>
      <c r="P98" s="9">
        <v>85.0</v>
      </c>
      <c r="Q98" s="9">
        <f t="shared" si="18"/>
        <v>0</v>
      </c>
    </row>
    <row r="99" ht="14.25" customHeight="1">
      <c r="H99" s="23" t="s">
        <v>105</v>
      </c>
      <c r="M99" s="8" t="s">
        <v>34</v>
      </c>
      <c r="N99" s="7" t="s">
        <v>35</v>
      </c>
      <c r="O99" s="15"/>
      <c r="P99" s="9">
        <v>66.6</v>
      </c>
      <c r="Q99" s="9">
        <f t="shared" si="18"/>
        <v>0</v>
      </c>
    </row>
    <row r="100" ht="14.25" customHeight="1">
      <c r="H100" s="23" t="s">
        <v>10</v>
      </c>
      <c r="I100" s="24">
        <f>K15+K27+K39+K55+K66+K81+K96</f>
        <v>25082.7</v>
      </c>
      <c r="M100" s="8" t="s">
        <v>28</v>
      </c>
      <c r="N100" s="7" t="s">
        <v>29</v>
      </c>
      <c r="O100" s="15"/>
      <c r="P100" s="9">
        <v>11.0</v>
      </c>
      <c r="Q100" s="9">
        <f t="shared" si="18"/>
        <v>0</v>
      </c>
    </row>
    <row r="101" ht="14.25" customHeight="1">
      <c r="H101" s="20" t="s">
        <v>106</v>
      </c>
      <c r="I101" s="21">
        <v>2508.27</v>
      </c>
      <c r="M101" s="8" t="s">
        <v>30</v>
      </c>
      <c r="N101" s="7" t="s">
        <v>31</v>
      </c>
      <c r="O101" s="16"/>
      <c r="P101" s="9">
        <v>60.5</v>
      </c>
      <c r="Q101" s="9">
        <f t="shared" si="18"/>
        <v>0</v>
      </c>
    </row>
    <row r="102" ht="14.25" customHeight="1">
      <c r="H102" s="20"/>
      <c r="I102" s="25"/>
      <c r="P102" s="10"/>
      <c r="Q102" s="11">
        <f>SUM(Q92:Q101)</f>
        <v>0</v>
      </c>
    </row>
    <row r="103" ht="14.25" customHeight="1"/>
    <row r="104" ht="14.25" customHeight="1"/>
    <row r="105" ht="14.25" customHeight="1"/>
    <row r="106" ht="14.25" customHeight="1"/>
    <row r="107" ht="14.25" customHeight="1">
      <c r="N107" s="20" t="s">
        <v>107</v>
      </c>
    </row>
    <row r="108" ht="14.25" customHeight="1">
      <c r="N108" s="20" t="s">
        <v>10</v>
      </c>
      <c r="O108" s="14">
        <f>Q14+Q29+Q42+Q58+Q75+Q87+Q102</f>
        <v>9738.39</v>
      </c>
    </row>
    <row r="109" ht="14.25" customHeight="1">
      <c r="N109" s="20" t="s">
        <v>106</v>
      </c>
      <c r="O109" s="26">
        <v>973.84</v>
      </c>
    </row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8">
    <mergeCell ref="A2:E2"/>
    <mergeCell ref="G2:K2"/>
    <mergeCell ref="M2:Q2"/>
    <mergeCell ref="A3:E3"/>
    <mergeCell ref="G3:K3"/>
    <mergeCell ref="M3:Q3"/>
    <mergeCell ref="M16:Q16"/>
    <mergeCell ref="A39:E39"/>
    <mergeCell ref="G41:K41"/>
    <mergeCell ref="G57:K57"/>
    <mergeCell ref="G68:K68"/>
    <mergeCell ref="G83:K83"/>
    <mergeCell ref="A17:E17"/>
    <mergeCell ref="G17:K17"/>
    <mergeCell ref="M17:Q17"/>
    <mergeCell ref="C19:C27"/>
    <mergeCell ref="G29:K29"/>
    <mergeCell ref="A30:E30"/>
    <mergeCell ref="C32:C35"/>
    <mergeCell ref="O80:O86"/>
    <mergeCell ref="O92:O101"/>
    <mergeCell ref="M31:Q31"/>
    <mergeCell ref="M32:Q32"/>
    <mergeCell ref="O34:O41"/>
    <mergeCell ref="M45:Q45"/>
    <mergeCell ref="M61:Q61"/>
    <mergeCell ref="M78:Q78"/>
    <mergeCell ref="M90:Q9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2026-01-07T05:39:46Z</dcterms:created>
  <dc:creator>Windows 10</dc:creator>
</cp:coreProperties>
</file>