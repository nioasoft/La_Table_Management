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NE38IECB\"/>
    </mc:Choice>
  </mc:AlternateContent>
  <bookViews>
    <workbookView xWindow="0" yWindow="0" windowWidth="21570" windowHeight="808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" i="1" l="1"/>
  <c r="E52" i="1" l="1"/>
  <c r="E43" i="1"/>
  <c r="E71" i="1" l="1"/>
  <c r="E53" i="1"/>
  <c r="E44" i="1"/>
</calcChain>
</file>

<file path=xl/sharedStrings.xml><?xml version="1.0" encoding="utf-8"?>
<sst xmlns="http://schemas.openxmlformats.org/spreadsheetml/2006/main" count="75" uniqueCount="40">
  <si>
    <t>תאריך</t>
  </si>
  <si>
    <t>סכום</t>
  </si>
  <si>
    <t>סניף</t>
  </si>
  <si>
    <t>סה"כ:</t>
  </si>
  <si>
    <t>מס' חשבון</t>
  </si>
  <si>
    <t>ויני עזריאלי</t>
  </si>
  <si>
    <t>ויני רגבה</t>
  </si>
  <si>
    <t>ויני נתניה</t>
  </si>
  <si>
    <t>"</t>
  </si>
  <si>
    <t>ויני קרית אתא</t>
  </si>
  <si>
    <t>ויני יהוד</t>
  </si>
  <si>
    <t>ויני כרמיאל</t>
  </si>
  <si>
    <t>מינה טומאיי קסטרא</t>
  </si>
  <si>
    <t>מינה טומאיי עין שמר</t>
  </si>
  <si>
    <t>מינה טומאיי יהוד</t>
  </si>
  <si>
    <t>פט ויני</t>
  </si>
  <si>
    <t>זכוי בגובה 10% כולל מע"מ</t>
  </si>
  <si>
    <t>סה"כ</t>
  </si>
  <si>
    <t xml:space="preserve">מינה טומאיי </t>
  </si>
  <si>
    <t>קינג קונג רעננה</t>
  </si>
  <si>
    <t>קינג קונג געתון נהריה</t>
  </si>
  <si>
    <t>קינג קונג כרמיאל</t>
  </si>
  <si>
    <t>קינג קונג חורב חיפה</t>
  </si>
  <si>
    <t>מינה טומאיי ת"א - שרונה</t>
  </si>
  <si>
    <t>קינג קונג קרית אתא</t>
  </si>
  <si>
    <t xml:space="preserve">קינג קונג  </t>
  </si>
  <si>
    <t>קינג קונג חדרה</t>
  </si>
  <si>
    <t>ויני חדרה - ישן</t>
  </si>
  <si>
    <t>ויני חדרה מול החוף - חדש</t>
  </si>
  <si>
    <t>אודון מינה טומאיי קריון</t>
  </si>
  <si>
    <t>יעקב סוכנויות -פט ויני + מינה טומאיי + קינג קונג  -  דוח מכירה - חודשים 10/25 - 12/25</t>
  </si>
  <si>
    <t>19/11/2025 זיכוי</t>
  </si>
  <si>
    <t>-</t>
  </si>
  <si>
    <t>12/10/2025 הוחזר - זיכוי</t>
  </si>
  <si>
    <t>25/12/25 זיכוי</t>
  </si>
  <si>
    <t>30/12/25</t>
  </si>
  <si>
    <t>28/12/25</t>
  </si>
  <si>
    <t>29/12/25</t>
  </si>
  <si>
    <t>20/11/2025 זיכוי החזרה</t>
  </si>
  <si>
    <t>27/11/2025 החזרה זיכוי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</si>
</sst>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"/>
    <numFmt numFmtId="165" formatCode="?????"/>
    <numFmt numFmtId="166" formatCode="?"/>
    <numFmt numFmtId="167" formatCode="??0.00"/>
    <numFmt numFmtId="168" formatCode="?,??0.00"/>
    <numFmt numFmtId="169" formatCode="?0.00"/>
  </numFmts>
  <fonts count="3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sz val="10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10"/>
      <color indexed="8"/>
      <name val="Arial"/>
    </font>
    <font>
      <sz val="10.5"/>
      <color indexed="8"/>
      <name val="Arial"/>
    </font>
    <font>
      <b/>
      <sz val="11"/>
      <color indexed="8"/>
      <name val="Arial"/>
    </font>
    <font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9"/>
      <color rgb="FFFF0000"/>
      <name val="Arial"/>
      <family val="2"/>
      <scheme val="minor"/>
    </font>
    <font>
      <sz val="11"/>
      <color rgb="FF9C5700"/>
      <name val="Arial"/>
      <family val="2"/>
      <charset val="177"/>
      <scheme val="minor"/>
    </font>
    <font>
      <sz val="9"/>
      <color rgb="FFFF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3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3" fillId="8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/>
    <xf numFmtId="0" fontId="21" fillId="0" borderId="0"/>
    <xf numFmtId="0" fontId="31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3" fillId="0" borderId="0"/>
    <xf numFmtId="0" fontId="33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2" fontId="0" fillId="0" borderId="0" xfId="0" applyNumberFormat="1"/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164" fontId="20" fillId="0" borderId="0" xfId="0" applyNumberFormat="1" applyFont="1" applyAlignment="1">
      <alignment horizontal="right"/>
    </xf>
    <xf numFmtId="0" fontId="21" fillId="0" borderId="0" xfId="42"/>
    <xf numFmtId="0" fontId="22" fillId="0" borderId="0" xfId="43" applyFont="1" applyAlignment="1">
      <alignment horizontal="right" vertical="top"/>
    </xf>
    <xf numFmtId="0" fontId="23" fillId="0" borderId="0" xfId="43" applyFont="1" applyAlignment="1">
      <alignment horizontal="right" vertical="top"/>
    </xf>
    <xf numFmtId="0" fontId="24" fillId="0" borderId="0" xfId="43" applyFont="1" applyAlignment="1">
      <alignment horizontal="right" vertical="top"/>
    </xf>
    <xf numFmtId="165" fontId="24" fillId="0" borderId="0" xfId="43" applyNumberFormat="1" applyFont="1" applyAlignment="1">
      <alignment horizontal="right" vertical="top"/>
    </xf>
    <xf numFmtId="0" fontId="25" fillId="0" borderId="0" xfId="43" applyFont="1" applyAlignment="1">
      <alignment horizontal="right" vertical="top"/>
    </xf>
    <xf numFmtId="166" fontId="24" fillId="0" borderId="0" xfId="43" applyNumberFormat="1" applyFont="1" applyAlignment="1">
      <alignment horizontal="right" vertical="top"/>
    </xf>
    <xf numFmtId="0" fontId="26" fillId="0" borderId="0" xfId="43" applyFont="1" applyAlignment="1">
      <alignment horizontal="right" vertical="top"/>
    </xf>
    <xf numFmtId="165" fontId="22" fillId="0" borderId="0" xfId="43" applyNumberFormat="1" applyFont="1" applyAlignment="1">
      <alignment horizontal="right" vertical="top"/>
    </xf>
    <xf numFmtId="0" fontId="1" fillId="33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4" fontId="20" fillId="0" borderId="1" xfId="0" applyNumberFormat="1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4" fontId="20" fillId="0" borderId="1" xfId="0" applyNumberFormat="1" applyFont="1" applyBorder="1" applyAlignment="1">
      <alignment horizontal="center"/>
    </xf>
    <xf numFmtId="0" fontId="0" fillId="0" borderId="0" xfId="0"/>
    <xf numFmtId="164" fontId="20" fillId="0" borderId="0" xfId="0" applyNumberFormat="1" applyFont="1" applyAlignment="1">
      <alignment horizontal="right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164" fontId="20" fillId="0" borderId="0" xfId="0" applyNumberFormat="1" applyFont="1" applyAlignment="1">
      <alignment horizontal="right"/>
    </xf>
    <xf numFmtId="0" fontId="0" fillId="0" borderId="0" xfId="0"/>
    <xf numFmtId="2" fontId="1" fillId="34" borderId="1" xfId="0" applyNumberFormat="1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/>
    </xf>
    <xf numFmtId="4" fontId="28" fillId="0" borderId="1" xfId="0" applyNumberFormat="1" applyFont="1" applyBorder="1" applyAlignment="1">
      <alignment horizontal="center"/>
    </xf>
    <xf numFmtId="4" fontId="28" fillId="0" borderId="12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164" fontId="20" fillId="0" borderId="0" xfId="0" applyNumberFormat="1" applyFont="1" applyAlignment="1">
      <alignment horizontal="right"/>
    </xf>
    <xf numFmtId="164" fontId="20" fillId="0" borderId="0" xfId="0" applyNumberFormat="1" applyFont="1" applyFill="1" applyAlignment="1">
      <alignment horizontal="right"/>
    </xf>
    <xf numFmtId="164" fontId="29" fillId="0" borderId="1" xfId="0" applyNumberFormat="1" applyFont="1" applyBorder="1" applyAlignment="1">
      <alignment horizontal="center"/>
    </xf>
    <xf numFmtId="164" fontId="29" fillId="0" borderId="12" xfId="0" applyNumberFormat="1" applyFont="1" applyBorder="1" applyAlignment="1">
      <alignment horizontal="center"/>
    </xf>
    <xf numFmtId="0" fontId="0" fillId="0" borderId="0" xfId="0"/>
    <xf numFmtId="0" fontId="0" fillId="0" borderId="13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0" xfId="0"/>
    <xf numFmtId="0" fontId="0" fillId="0" borderId="0" xfId="0"/>
    <xf numFmtId="4" fontId="20" fillId="0" borderId="0" xfId="0" applyNumberFormat="1" applyFont="1" applyAlignment="1">
      <alignment horizontal="right"/>
    </xf>
    <xf numFmtId="0" fontId="0" fillId="0" borderId="0" xfId="0"/>
    <xf numFmtId="0" fontId="0" fillId="0" borderId="0" xfId="0"/>
    <xf numFmtId="2" fontId="1" fillId="34" borderId="12" xfId="0" applyNumberFormat="1" applyFont="1" applyFill="1" applyBorder="1" applyAlignment="1">
      <alignment horizontal="center"/>
    </xf>
    <xf numFmtId="4" fontId="30" fillId="0" borderId="1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4" fontId="30" fillId="0" borderId="1" xfId="0" applyNumberFormat="1" applyFont="1" applyBorder="1" applyAlignment="1">
      <alignment horizontal="center" vertical="center"/>
    </xf>
    <xf numFmtId="0" fontId="0" fillId="0" borderId="0" xfId="0"/>
    <xf numFmtId="4" fontId="20" fillId="0" borderId="0" xfId="0" applyNumberFormat="1" applyFont="1" applyAlignment="1">
      <alignment horizontal="right"/>
    </xf>
    <xf numFmtId="0" fontId="0" fillId="0" borderId="0" xfId="0"/>
    <xf numFmtId="164" fontId="20" fillId="0" borderId="0" xfId="0" applyNumberFormat="1" applyFont="1" applyAlignment="1">
      <alignment horizontal="right"/>
    </xf>
    <xf numFmtId="0" fontId="0" fillId="0" borderId="0" xfId="0"/>
    <xf numFmtId="0" fontId="22" fillId="0" borderId="0" xfId="43" applyFont="1" applyAlignment="1">
      <alignment horizontal="center" vertical="top"/>
    </xf>
    <xf numFmtId="0" fontId="21" fillId="0" borderId="0" xfId="42"/>
    <xf numFmtId="169" fontId="32" fillId="0" borderId="0" xfId="43" applyNumberFormat="1" applyFont="1" applyAlignment="1">
      <alignment horizontal="center" vertical="top"/>
    </xf>
    <xf numFmtId="165" fontId="34" fillId="0" borderId="0" xfId="52" applyNumberFormat="1" applyFont="1" applyAlignment="1">
      <alignment horizontal="center" vertical="top"/>
    </xf>
    <xf numFmtId="0" fontId="34" fillId="0" borderId="0" xfId="52" applyFont="1" applyAlignment="1">
      <alignment horizontal="center" vertical="top"/>
    </xf>
    <xf numFmtId="167" fontId="34" fillId="0" borderId="0" xfId="52" applyNumberFormat="1" applyFont="1" applyAlignment="1">
      <alignment horizontal="center" vertical="top"/>
    </xf>
    <xf numFmtId="168" fontId="34" fillId="0" borderId="0" xfId="52" applyNumberFormat="1" applyFont="1" applyAlignment="1">
      <alignment horizontal="center" vertical="top"/>
    </xf>
    <xf numFmtId="164" fontId="20" fillId="0" borderId="0" xfId="0" applyNumberFormat="1" applyFont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</cellXfs>
  <cellStyles count="5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1 2" xfId="45"/>
    <cellStyle name="60% - הדגשה2" xfId="25" builtinId="36" customBuiltin="1"/>
    <cellStyle name="60% - הדגשה2 2" xfId="46"/>
    <cellStyle name="60% - הדגשה3" xfId="29" builtinId="40" customBuiltin="1"/>
    <cellStyle name="60% - הדגשה3 2" xfId="47"/>
    <cellStyle name="60% - הדגשה4" xfId="33" builtinId="44" customBuiltin="1"/>
    <cellStyle name="60% - הדגשה4 2" xfId="48"/>
    <cellStyle name="60% - הדגשה5" xfId="37" builtinId="48" customBuiltin="1"/>
    <cellStyle name="60% - הדגשה5 2" xfId="49"/>
    <cellStyle name="60% - הדגשה6" xfId="41" builtinId="52" customBuiltin="1"/>
    <cellStyle name="60% - הדגשה6 2" xfId="50"/>
    <cellStyle name="Comma 2" xfId="43"/>
    <cellStyle name="Comma 3" xfId="52"/>
    <cellStyle name="Normal" xfId="0" builtinId="0"/>
    <cellStyle name="Normal 2" xfId="42"/>
    <cellStyle name="Normal 3" xfId="5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ניטראלי 2" xfId="44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93"/>
  <sheetViews>
    <sheetView rightToLeft="1" tabSelected="1" topLeftCell="A46" workbookViewId="0">
      <selection activeCell="I58" sqref="I58"/>
    </sheetView>
  </sheetViews>
  <sheetFormatPr defaultRowHeight="14.25" x14ac:dyDescent="0.2"/>
  <cols>
    <col min="1" max="1" width="7.375" customWidth="1"/>
    <col min="2" max="2" width="46.125" customWidth="1"/>
    <col min="3" max="3" width="28.375" customWidth="1"/>
    <col min="4" max="4" width="13.625" customWidth="1"/>
    <col min="5" max="5" width="14.375" style="6" customWidth="1"/>
    <col min="6" max="6" width="18.25" customWidth="1"/>
  </cols>
  <sheetData>
    <row r="3" spans="1:6" ht="15" x14ac:dyDescent="0.25">
      <c r="B3" s="5" t="s">
        <v>30</v>
      </c>
      <c r="C3" s="1"/>
    </row>
    <row r="5" spans="1:6" ht="15" x14ac:dyDescent="0.25">
      <c r="A5" s="2"/>
      <c r="B5" s="4"/>
      <c r="C5" s="4"/>
      <c r="D5" s="4"/>
      <c r="E5" s="8"/>
    </row>
    <row r="6" spans="1:6" ht="15" x14ac:dyDescent="0.25">
      <c r="B6" s="3" t="s">
        <v>2</v>
      </c>
      <c r="C6" s="3" t="s">
        <v>0</v>
      </c>
      <c r="D6" s="3" t="s">
        <v>4</v>
      </c>
      <c r="E6" s="7" t="s">
        <v>1</v>
      </c>
    </row>
    <row r="7" spans="1:6" s="41" customFormat="1" ht="15" x14ac:dyDescent="0.25">
      <c r="B7" s="3"/>
      <c r="D7" s="3"/>
      <c r="E7" s="7"/>
    </row>
    <row r="8" spans="1:6" s="12" customFormat="1" ht="15" x14ac:dyDescent="0.25">
      <c r="B8" s="3"/>
      <c r="C8" s="23" t="s">
        <v>15</v>
      </c>
      <c r="D8" s="24"/>
      <c r="E8" s="7"/>
    </row>
    <row r="9" spans="1:6" x14ac:dyDescent="0.2">
      <c r="B9" s="55" t="s">
        <v>5</v>
      </c>
      <c r="C9" s="74">
        <v>45949</v>
      </c>
      <c r="D9" s="73">
        <v>97421</v>
      </c>
      <c r="E9" s="72">
        <v>4995</v>
      </c>
      <c r="F9" s="32"/>
    </row>
    <row r="10" spans="1:6" s="65" customFormat="1" x14ac:dyDescent="0.2">
      <c r="B10" s="55" t="s">
        <v>8</v>
      </c>
      <c r="C10" s="74">
        <v>45974</v>
      </c>
      <c r="D10" s="73">
        <v>98101</v>
      </c>
      <c r="E10" s="72">
        <v>977</v>
      </c>
      <c r="F10" s="32"/>
    </row>
    <row r="11" spans="1:6" s="65" customFormat="1" x14ac:dyDescent="0.2">
      <c r="B11" s="55" t="s">
        <v>8</v>
      </c>
      <c r="C11" s="74">
        <v>45978</v>
      </c>
      <c r="D11" s="73">
        <v>98187</v>
      </c>
      <c r="E11" s="72">
        <v>1635.48</v>
      </c>
      <c r="F11" s="32"/>
    </row>
    <row r="12" spans="1:6" s="65" customFormat="1" x14ac:dyDescent="0.2">
      <c r="B12" s="55" t="s">
        <v>8</v>
      </c>
      <c r="C12" s="74" t="s">
        <v>31</v>
      </c>
      <c r="D12" s="73">
        <v>16679</v>
      </c>
      <c r="E12" s="75">
        <v>-86.2</v>
      </c>
      <c r="F12" s="32"/>
    </row>
    <row r="13" spans="1:6" s="65" customFormat="1" x14ac:dyDescent="0.2">
      <c r="B13" s="55" t="s">
        <v>8</v>
      </c>
      <c r="C13" s="74">
        <v>46013</v>
      </c>
      <c r="D13" s="73">
        <v>98995</v>
      </c>
      <c r="E13" s="72">
        <v>3422.47</v>
      </c>
      <c r="F13" s="32"/>
    </row>
    <row r="14" spans="1:6" s="80" customFormat="1" x14ac:dyDescent="0.2">
      <c r="B14" s="55"/>
      <c r="C14" s="81" t="s">
        <v>34</v>
      </c>
      <c r="D14" s="84">
        <v>16754</v>
      </c>
      <c r="E14" s="83">
        <v>-50.98</v>
      </c>
      <c r="F14" s="32"/>
    </row>
    <row r="15" spans="1:6" s="65" customFormat="1" x14ac:dyDescent="0.2">
      <c r="B15" s="43" t="s">
        <v>6</v>
      </c>
      <c r="C15" s="74">
        <v>45942</v>
      </c>
      <c r="D15" s="73">
        <v>97295</v>
      </c>
      <c r="E15" s="72">
        <v>3530.37</v>
      </c>
      <c r="F15" s="32"/>
    </row>
    <row r="16" spans="1:6" s="12" customFormat="1" ht="15" x14ac:dyDescent="0.25">
      <c r="B16" s="56" t="s">
        <v>8</v>
      </c>
      <c r="C16" s="74">
        <v>45963</v>
      </c>
      <c r="D16" s="73">
        <v>97772</v>
      </c>
      <c r="E16" s="72">
        <v>1748.19</v>
      </c>
      <c r="F16" s="58"/>
    </row>
    <row r="17" spans="1:6" s="11" customFormat="1" x14ac:dyDescent="0.2">
      <c r="B17" s="43" t="s">
        <v>8</v>
      </c>
      <c r="C17" s="74">
        <v>46005</v>
      </c>
      <c r="D17" s="73">
        <v>98809</v>
      </c>
      <c r="E17" s="72">
        <v>2604.02</v>
      </c>
      <c r="F17" s="58"/>
    </row>
    <row r="18" spans="1:6" s="80" customFormat="1" x14ac:dyDescent="0.2">
      <c r="B18" s="43"/>
      <c r="C18" s="85" t="s">
        <v>35</v>
      </c>
      <c r="D18" s="84">
        <v>99156</v>
      </c>
      <c r="E18" s="86">
        <v>807.12</v>
      </c>
    </row>
    <row r="19" spans="1:6" s="30" customFormat="1" x14ac:dyDescent="0.2">
      <c r="B19" s="43" t="s">
        <v>7</v>
      </c>
      <c r="C19" s="27">
        <v>45942</v>
      </c>
      <c r="D19" s="28">
        <v>97304</v>
      </c>
      <c r="E19" s="29">
        <v>2105.31</v>
      </c>
      <c r="F19" s="32"/>
    </row>
    <row r="20" spans="1:6" s="37" customFormat="1" x14ac:dyDescent="0.2">
      <c r="B20" s="43" t="s">
        <v>8</v>
      </c>
      <c r="C20" s="27">
        <v>45956</v>
      </c>
      <c r="D20" s="28">
        <v>97583</v>
      </c>
      <c r="E20" s="29">
        <v>1534.94</v>
      </c>
      <c r="F20" s="59"/>
    </row>
    <row r="21" spans="1:6" s="76" customFormat="1" x14ac:dyDescent="0.2">
      <c r="B21" s="43" t="s">
        <v>8</v>
      </c>
      <c r="C21" s="27">
        <v>45978</v>
      </c>
      <c r="D21" s="28">
        <v>98196</v>
      </c>
      <c r="E21" s="29">
        <v>2548.8000000000002</v>
      </c>
      <c r="F21" s="77"/>
    </row>
    <row r="22" spans="1:6" s="76" customFormat="1" x14ac:dyDescent="0.2">
      <c r="B22" s="43" t="s">
        <v>8</v>
      </c>
      <c r="C22" s="27">
        <v>45993</v>
      </c>
      <c r="D22" s="28">
        <v>98561</v>
      </c>
      <c r="E22" s="29">
        <v>2482.25</v>
      </c>
      <c r="F22" s="77"/>
    </row>
    <row r="23" spans="1:6" s="80" customFormat="1" x14ac:dyDescent="0.2">
      <c r="B23" s="43"/>
      <c r="C23" s="85" t="s">
        <v>36</v>
      </c>
      <c r="D23" s="84">
        <v>99118</v>
      </c>
      <c r="E23" s="87">
        <v>1149.79</v>
      </c>
      <c r="F23" s="77"/>
    </row>
    <row r="24" spans="1:6" s="12" customFormat="1" x14ac:dyDescent="0.2">
      <c r="B24" s="43" t="s">
        <v>27</v>
      </c>
      <c r="C24" s="27"/>
      <c r="D24" s="28"/>
      <c r="E24" s="29" t="s">
        <v>32</v>
      </c>
      <c r="F24" s="51"/>
    </row>
    <row r="25" spans="1:6" x14ac:dyDescent="0.2">
      <c r="B25" s="43" t="s">
        <v>9</v>
      </c>
      <c r="C25" s="74">
        <v>45935</v>
      </c>
      <c r="D25" s="73">
        <v>97197</v>
      </c>
      <c r="E25" s="72">
        <v>841.1</v>
      </c>
      <c r="F25" s="51"/>
    </row>
    <row r="26" spans="1:6" s="60" customFormat="1" x14ac:dyDescent="0.2">
      <c r="B26" s="43" t="s">
        <v>8</v>
      </c>
      <c r="C26" s="74">
        <v>45935</v>
      </c>
      <c r="D26" s="73">
        <v>97199</v>
      </c>
      <c r="E26" s="72">
        <v>403.56</v>
      </c>
      <c r="F26" s="51"/>
    </row>
    <row r="27" spans="1:6" s="38" customFormat="1" x14ac:dyDescent="0.2">
      <c r="A27" s="67"/>
      <c r="B27" s="43" t="s">
        <v>8</v>
      </c>
      <c r="C27" s="74">
        <v>45964</v>
      </c>
      <c r="D27" s="73">
        <v>97797</v>
      </c>
      <c r="E27" s="72">
        <v>7092.57</v>
      </c>
      <c r="F27" s="51"/>
    </row>
    <row r="28" spans="1:6" s="57" customFormat="1" x14ac:dyDescent="0.2">
      <c r="A28" s="67"/>
      <c r="B28" s="43" t="s">
        <v>8</v>
      </c>
      <c r="C28" s="74">
        <v>45972</v>
      </c>
      <c r="D28" s="73">
        <v>98035</v>
      </c>
      <c r="E28" s="72">
        <v>5426.11</v>
      </c>
      <c r="F28" s="32"/>
    </row>
    <row r="29" spans="1:6" s="61" customFormat="1" x14ac:dyDescent="0.2">
      <c r="A29" s="67"/>
      <c r="B29" s="43" t="s">
        <v>8</v>
      </c>
      <c r="C29" s="74">
        <v>45984</v>
      </c>
      <c r="D29" s="73">
        <v>98326</v>
      </c>
      <c r="E29" s="72">
        <v>1696.65</v>
      </c>
      <c r="F29" s="51"/>
    </row>
    <row r="30" spans="1:6" s="80" customFormat="1" x14ac:dyDescent="0.2">
      <c r="B30" s="43"/>
      <c r="C30" s="85" t="s">
        <v>37</v>
      </c>
      <c r="D30" s="84">
        <v>99139</v>
      </c>
      <c r="E30" s="87">
        <v>2187.7199999999998</v>
      </c>
      <c r="F30" s="51"/>
    </row>
    <row r="31" spans="1:6" s="39" customFormat="1" x14ac:dyDescent="0.2">
      <c r="A31" s="38"/>
      <c r="B31" s="43" t="s">
        <v>11</v>
      </c>
      <c r="C31" s="74">
        <v>45935</v>
      </c>
      <c r="D31" s="73">
        <v>97186</v>
      </c>
      <c r="E31" s="72">
        <v>6938.59</v>
      </c>
      <c r="F31" s="40"/>
    </row>
    <row r="32" spans="1:6" s="78" customFormat="1" x14ac:dyDescent="0.2">
      <c r="B32" s="43"/>
      <c r="C32" s="74" t="s">
        <v>33</v>
      </c>
      <c r="D32" s="73">
        <v>16601</v>
      </c>
      <c r="E32" s="75">
        <v>-206.5</v>
      </c>
      <c r="F32" s="79"/>
    </row>
    <row r="33" spans="1:6" s="78" customFormat="1" x14ac:dyDescent="0.2">
      <c r="B33" s="43"/>
      <c r="C33" s="74">
        <v>45974</v>
      </c>
      <c r="D33" s="73">
        <v>98110</v>
      </c>
      <c r="E33" s="72">
        <v>2548.8000000000002</v>
      </c>
      <c r="F33" s="79"/>
    </row>
    <row r="34" spans="1:6" s="78" customFormat="1" x14ac:dyDescent="0.2">
      <c r="B34" s="43"/>
      <c r="C34" s="74">
        <v>45999</v>
      </c>
      <c r="D34" s="73">
        <v>98675</v>
      </c>
      <c r="E34" s="72">
        <v>4881.5200000000004</v>
      </c>
      <c r="F34" s="79"/>
    </row>
    <row r="35" spans="1:6" s="80" customFormat="1" x14ac:dyDescent="0.2">
      <c r="B35" s="43"/>
      <c r="C35" s="85" t="s">
        <v>35</v>
      </c>
      <c r="D35" s="84">
        <v>99155</v>
      </c>
      <c r="E35" s="87">
        <v>2536.34</v>
      </c>
      <c r="F35" s="79"/>
    </row>
    <row r="36" spans="1:6" s="12" customFormat="1" x14ac:dyDescent="0.2">
      <c r="A36" s="57"/>
      <c r="B36" s="43" t="s">
        <v>10</v>
      </c>
      <c r="C36" s="74">
        <v>45951</v>
      </c>
      <c r="D36" s="73">
        <v>97497</v>
      </c>
      <c r="E36" s="72">
        <v>1379.18</v>
      </c>
    </row>
    <row r="37" spans="1:6" x14ac:dyDescent="0.2">
      <c r="A37" s="61"/>
      <c r="B37" s="44" t="s">
        <v>8</v>
      </c>
      <c r="C37" s="74">
        <v>45965</v>
      </c>
      <c r="D37" s="73">
        <v>97841</v>
      </c>
      <c r="E37" s="72">
        <v>3274.08</v>
      </c>
      <c r="F37" s="51"/>
    </row>
    <row r="38" spans="1:6" s="12" customFormat="1" x14ac:dyDescent="0.2">
      <c r="A38" s="48"/>
      <c r="B38" s="43" t="s">
        <v>8</v>
      </c>
      <c r="C38" s="74">
        <v>45970</v>
      </c>
      <c r="D38" s="73">
        <v>16657</v>
      </c>
      <c r="E38" s="75">
        <v>-403.56</v>
      </c>
      <c r="F38" s="51"/>
    </row>
    <row r="39" spans="1:6" s="80" customFormat="1" x14ac:dyDescent="0.2">
      <c r="B39" s="43"/>
      <c r="C39" s="74">
        <v>45974</v>
      </c>
      <c r="D39" s="73">
        <v>98105</v>
      </c>
      <c r="E39" s="72">
        <v>2548.8000000000002</v>
      </c>
      <c r="F39" s="51"/>
    </row>
    <row r="40" spans="1:6" s="80" customFormat="1" x14ac:dyDescent="0.2">
      <c r="B40" s="43"/>
      <c r="C40" s="74">
        <v>45979</v>
      </c>
      <c r="D40" s="73">
        <v>98223</v>
      </c>
      <c r="E40" s="72">
        <v>6287.32</v>
      </c>
      <c r="F40" s="51"/>
    </row>
    <row r="41" spans="1:6" s="80" customFormat="1" x14ac:dyDescent="0.2">
      <c r="B41" s="43"/>
      <c r="C41" s="74">
        <v>45994</v>
      </c>
      <c r="D41" s="73">
        <v>98600</v>
      </c>
      <c r="E41" s="72">
        <v>807.12</v>
      </c>
      <c r="F41" s="51"/>
    </row>
    <row r="42" spans="1:6" s="12" customFormat="1" x14ac:dyDescent="0.2">
      <c r="A42" s="39"/>
      <c r="B42" s="66" t="s">
        <v>28</v>
      </c>
      <c r="C42" s="85" t="s">
        <v>37</v>
      </c>
      <c r="D42" s="28">
        <v>4498</v>
      </c>
      <c r="E42" s="29">
        <v>4078</v>
      </c>
      <c r="F42" s="13"/>
    </row>
    <row r="43" spans="1:6" s="64" customFormat="1" ht="15" x14ac:dyDescent="0.25">
      <c r="A43" s="12"/>
      <c r="B43" s="10"/>
      <c r="C43" s="53" t="s">
        <v>17</v>
      </c>
      <c r="D43" s="28"/>
      <c r="E43" s="47">
        <f>SUM(E9:E42)</f>
        <v>81720.959999999992</v>
      </c>
      <c r="F43" s="51"/>
    </row>
    <row r="44" spans="1:6" s="49" customFormat="1" ht="15" x14ac:dyDescent="0.25">
      <c r="A44" s="54"/>
      <c r="B44" s="10"/>
      <c r="C44" s="34" t="s">
        <v>16</v>
      </c>
      <c r="D44" s="36" t="s">
        <v>3</v>
      </c>
      <c r="E44" s="42">
        <f>E43*0.1</f>
        <v>8172.0959999999995</v>
      </c>
      <c r="F44" s="50"/>
    </row>
    <row r="45" spans="1:6" s="49" customFormat="1" ht="15" x14ac:dyDescent="0.25">
      <c r="A45" s="64"/>
      <c r="B45" s="3"/>
      <c r="C45" s="23" t="s">
        <v>18</v>
      </c>
      <c r="D45" s="24"/>
      <c r="E45" s="7"/>
      <c r="F45" s="50"/>
    </row>
    <row r="46" spans="1:6" s="32" customFormat="1" x14ac:dyDescent="0.2">
      <c r="A46" s="64"/>
      <c r="B46" s="9" t="s">
        <v>29</v>
      </c>
      <c r="C46" s="27"/>
      <c r="D46" s="28"/>
      <c r="E46" s="26" t="s">
        <v>32</v>
      </c>
    </row>
    <row r="47" spans="1:6" s="32" customFormat="1" x14ac:dyDescent="0.2">
      <c r="A47" s="64"/>
      <c r="B47" s="9" t="s">
        <v>14</v>
      </c>
      <c r="C47" s="27"/>
      <c r="D47" s="28"/>
      <c r="E47" s="29" t="s">
        <v>32</v>
      </c>
    </row>
    <row r="48" spans="1:6" s="30" customFormat="1" x14ac:dyDescent="0.2">
      <c r="A48" s="49"/>
      <c r="B48" s="10" t="s">
        <v>12</v>
      </c>
      <c r="C48" s="27">
        <v>45945</v>
      </c>
      <c r="D48" s="28">
        <v>97355</v>
      </c>
      <c r="E48" s="29">
        <v>1063.1099999999999</v>
      </c>
    </row>
    <row r="49" spans="1:6" s="32" customFormat="1" x14ac:dyDescent="0.2">
      <c r="A49" s="49"/>
      <c r="B49" s="10" t="s">
        <v>8</v>
      </c>
      <c r="C49" s="27">
        <v>46005</v>
      </c>
      <c r="D49" s="28">
        <v>98808</v>
      </c>
      <c r="E49" s="29">
        <v>1328.21</v>
      </c>
    </row>
    <row r="50" spans="1:6" s="32" customFormat="1" x14ac:dyDescent="0.2">
      <c r="B50" s="10" t="s">
        <v>23</v>
      </c>
      <c r="C50" s="27"/>
      <c r="D50" s="28"/>
      <c r="E50" s="29" t="s">
        <v>32</v>
      </c>
    </row>
    <row r="51" spans="1:6" s="32" customFormat="1" x14ac:dyDescent="0.2">
      <c r="B51" s="10" t="s">
        <v>13</v>
      </c>
      <c r="C51" s="74">
        <v>45992</v>
      </c>
      <c r="D51" s="28">
        <v>98511</v>
      </c>
      <c r="E51" s="29">
        <v>1376.89</v>
      </c>
    </row>
    <row r="52" spans="1:6" s="32" customFormat="1" ht="15" x14ac:dyDescent="0.25">
      <c r="B52" s="35"/>
      <c r="C52" s="53" t="s">
        <v>17</v>
      </c>
      <c r="D52" s="45"/>
      <c r="E52" s="47">
        <f>SUM(E46:E50)</f>
        <v>2391.3199999999997</v>
      </c>
    </row>
    <row r="53" spans="1:6" s="32" customFormat="1" ht="15" x14ac:dyDescent="0.25">
      <c r="B53" s="35"/>
      <c r="C53" s="34" t="s">
        <v>16</v>
      </c>
      <c r="D53" s="36" t="s">
        <v>3</v>
      </c>
      <c r="E53" s="42">
        <f>E52*0.1</f>
        <v>239.13199999999998</v>
      </c>
    </row>
    <row r="54" spans="1:6" s="30" customFormat="1" ht="15" x14ac:dyDescent="0.25">
      <c r="A54" s="32"/>
      <c r="B54" s="3"/>
      <c r="C54" s="23" t="s">
        <v>25</v>
      </c>
      <c r="D54" s="24"/>
      <c r="E54" s="7"/>
      <c r="F54" s="31"/>
    </row>
    <row r="55" spans="1:6" x14ac:dyDescent="0.2">
      <c r="A55" s="32"/>
      <c r="B55" s="35" t="s">
        <v>19</v>
      </c>
      <c r="C55" s="27">
        <v>45950</v>
      </c>
      <c r="D55" s="28">
        <v>97445</v>
      </c>
      <c r="E55" s="29">
        <v>920.4</v>
      </c>
    </row>
    <row r="56" spans="1:6" s="68" customFormat="1" x14ac:dyDescent="0.2">
      <c r="A56" s="32"/>
      <c r="B56" s="35" t="s">
        <v>8</v>
      </c>
      <c r="C56" s="27">
        <v>45963</v>
      </c>
      <c r="D56" s="28">
        <v>97768</v>
      </c>
      <c r="E56" s="29">
        <v>1593</v>
      </c>
    </row>
    <row r="57" spans="1:6" s="68" customFormat="1" x14ac:dyDescent="0.2">
      <c r="A57" s="32"/>
      <c r="B57" s="35" t="s">
        <v>8</v>
      </c>
      <c r="C57" s="27">
        <v>45985</v>
      </c>
      <c r="D57" s="28">
        <v>98362</v>
      </c>
      <c r="E57" s="29">
        <v>1158.29</v>
      </c>
    </row>
    <row r="58" spans="1:6" x14ac:dyDescent="0.2">
      <c r="A58" s="32"/>
      <c r="B58" s="35" t="s">
        <v>20</v>
      </c>
      <c r="C58" s="27">
        <v>45972</v>
      </c>
      <c r="D58" s="28">
        <v>98037</v>
      </c>
      <c r="E58" s="29">
        <v>1274.4000000000001</v>
      </c>
    </row>
    <row r="59" spans="1:6" s="90" customFormat="1" x14ac:dyDescent="0.2">
      <c r="A59" s="32"/>
      <c r="B59" s="35" t="s">
        <v>8</v>
      </c>
      <c r="C59" s="27" t="s">
        <v>38</v>
      </c>
      <c r="D59" s="28">
        <v>16685</v>
      </c>
      <c r="E59" s="63">
        <v>-311.52</v>
      </c>
    </row>
    <row r="60" spans="1:6" s="91" customFormat="1" x14ac:dyDescent="0.2">
      <c r="A60" s="32"/>
      <c r="B60" s="35" t="s">
        <v>8</v>
      </c>
      <c r="C60" s="27">
        <v>46019</v>
      </c>
      <c r="D60" s="28">
        <v>99105</v>
      </c>
      <c r="E60" s="29">
        <v>3221.4</v>
      </c>
    </row>
    <row r="61" spans="1:6" x14ac:dyDescent="0.2">
      <c r="A61" s="30"/>
      <c r="B61" s="35" t="s">
        <v>21</v>
      </c>
      <c r="C61" s="27">
        <v>45949</v>
      </c>
      <c r="D61" s="28">
        <v>97436</v>
      </c>
      <c r="E61" s="29">
        <v>1840.8</v>
      </c>
    </row>
    <row r="62" spans="1:6" s="69" customFormat="1" x14ac:dyDescent="0.2">
      <c r="B62" s="35" t="s">
        <v>8</v>
      </c>
      <c r="C62" s="27">
        <v>45974</v>
      </c>
      <c r="D62" s="28">
        <v>98106</v>
      </c>
      <c r="E62" s="29">
        <v>959.34</v>
      </c>
    </row>
    <row r="63" spans="1:6" x14ac:dyDescent="0.2">
      <c r="A63" s="32"/>
      <c r="B63" s="35" t="s">
        <v>24</v>
      </c>
      <c r="C63" s="27">
        <v>45935</v>
      </c>
      <c r="D63" s="28">
        <v>97187</v>
      </c>
      <c r="E63" s="29">
        <v>3336</v>
      </c>
    </row>
    <row r="64" spans="1:6" s="70" customFormat="1" x14ac:dyDescent="0.2">
      <c r="A64" s="32"/>
      <c r="B64" s="35" t="s">
        <v>8</v>
      </c>
      <c r="C64" s="27">
        <v>46012</v>
      </c>
      <c r="D64" s="28">
        <v>98975</v>
      </c>
      <c r="E64" s="29">
        <v>935.27</v>
      </c>
    </row>
    <row r="65" spans="2:6" x14ac:dyDescent="0.2">
      <c r="B65" s="35" t="s">
        <v>22</v>
      </c>
      <c r="C65" s="27">
        <v>45935</v>
      </c>
      <c r="D65" s="28">
        <v>97157</v>
      </c>
      <c r="E65" s="29">
        <v>1656.72</v>
      </c>
      <c r="F65" s="14"/>
    </row>
    <row r="66" spans="2:6" s="71" customFormat="1" x14ac:dyDescent="0.2">
      <c r="B66" s="35" t="s">
        <v>8</v>
      </c>
      <c r="C66" s="27">
        <v>45964</v>
      </c>
      <c r="D66" s="28">
        <v>97810</v>
      </c>
      <c r="E66" s="29">
        <v>1393.34</v>
      </c>
      <c r="F66" s="14"/>
    </row>
    <row r="67" spans="2:6" s="92" customFormat="1" x14ac:dyDescent="0.2">
      <c r="B67" s="35" t="s">
        <v>8</v>
      </c>
      <c r="C67" s="27">
        <v>45965</v>
      </c>
      <c r="D67" s="28">
        <v>97851</v>
      </c>
      <c r="E67" s="29">
        <v>568.04999999999995</v>
      </c>
      <c r="F67" s="82"/>
    </row>
    <row r="68" spans="2:6" x14ac:dyDescent="0.2">
      <c r="B68" s="35" t="s">
        <v>26</v>
      </c>
      <c r="C68" s="89">
        <v>45985</v>
      </c>
      <c r="D68" s="28">
        <v>98361</v>
      </c>
      <c r="E68" s="29">
        <v>860.93</v>
      </c>
      <c r="F68" s="14"/>
    </row>
    <row r="69" spans="2:6" x14ac:dyDescent="0.2">
      <c r="B69" s="35" t="s">
        <v>8</v>
      </c>
      <c r="C69" s="88" t="s">
        <v>39</v>
      </c>
      <c r="D69" s="28">
        <v>16698</v>
      </c>
      <c r="E69" s="63">
        <v>-433.3</v>
      </c>
      <c r="F69" s="14"/>
    </row>
    <row r="70" spans="2:6" ht="15" x14ac:dyDescent="0.25">
      <c r="B70" s="33"/>
      <c r="C70" s="52" t="s">
        <v>17</v>
      </c>
      <c r="D70" s="28"/>
      <c r="E70" s="46">
        <f>SUM(E55:E68)</f>
        <v>19406.419999999998</v>
      </c>
      <c r="F70" s="14"/>
    </row>
    <row r="71" spans="2:6" ht="15" x14ac:dyDescent="0.25">
      <c r="B71" s="10"/>
      <c r="C71" s="34" t="s">
        <v>16</v>
      </c>
      <c r="D71" s="36" t="s">
        <v>3</v>
      </c>
      <c r="E71" s="62">
        <f>E70*0.1</f>
        <v>1940.6419999999998</v>
      </c>
      <c r="F71" s="21"/>
    </row>
    <row r="72" spans="2:6" ht="15" x14ac:dyDescent="0.25">
      <c r="E72" s="25"/>
      <c r="F72" s="15"/>
    </row>
    <row r="73" spans="2:6" x14ac:dyDescent="0.2">
      <c r="F73" s="14"/>
    </row>
    <row r="74" spans="2:6" x14ac:dyDescent="0.2">
      <c r="F74" s="14"/>
    </row>
    <row r="75" spans="2:6" x14ac:dyDescent="0.2">
      <c r="F75" s="14"/>
    </row>
    <row r="76" spans="2:6" x14ac:dyDescent="0.2">
      <c r="B76" s="14"/>
      <c r="C76" s="14"/>
      <c r="D76" s="14"/>
      <c r="E76" s="14"/>
      <c r="F76" s="15"/>
    </row>
    <row r="77" spans="2:6" x14ac:dyDescent="0.2">
      <c r="B77" s="14"/>
      <c r="C77" s="14"/>
      <c r="D77" s="14"/>
      <c r="E77" s="14"/>
      <c r="F77" s="15"/>
    </row>
    <row r="78" spans="2:6" x14ac:dyDescent="0.2">
      <c r="B78" s="19"/>
      <c r="C78" s="18"/>
      <c r="D78" s="14"/>
      <c r="E78" s="17"/>
      <c r="F78" s="14"/>
    </row>
    <row r="79" spans="2:6" x14ac:dyDescent="0.2">
      <c r="B79" s="14"/>
      <c r="C79" s="14"/>
      <c r="D79" s="14"/>
      <c r="E79" s="20"/>
      <c r="F79" s="14"/>
    </row>
    <row r="80" spans="2:6" ht="15" x14ac:dyDescent="0.2">
      <c r="B80" s="21"/>
      <c r="C80" s="21"/>
      <c r="D80" s="21"/>
      <c r="E80" s="21"/>
      <c r="F80" s="14"/>
    </row>
    <row r="81" spans="2:6" x14ac:dyDescent="0.2">
      <c r="B81" s="22"/>
      <c r="C81" s="22"/>
      <c r="D81" s="15"/>
      <c r="E81" s="15"/>
      <c r="F81" s="14"/>
    </row>
    <row r="82" spans="2:6" x14ac:dyDescent="0.2">
      <c r="B82" s="14"/>
      <c r="C82" s="14"/>
      <c r="D82" s="14"/>
      <c r="E82" s="14"/>
      <c r="F82" s="15"/>
    </row>
    <row r="83" spans="2:6" x14ac:dyDescent="0.2">
      <c r="B83" s="19"/>
      <c r="C83" s="18"/>
      <c r="D83" s="14"/>
      <c r="E83" s="17"/>
      <c r="F83" s="14"/>
    </row>
    <row r="84" spans="2:6" x14ac:dyDescent="0.2">
      <c r="B84" s="14"/>
      <c r="C84" s="14"/>
      <c r="D84" s="14"/>
      <c r="E84" s="17"/>
      <c r="F84" s="16"/>
    </row>
    <row r="85" spans="2:6" x14ac:dyDescent="0.2">
      <c r="B85" s="22"/>
      <c r="C85" s="14"/>
      <c r="D85" s="15"/>
      <c r="E85" s="15"/>
    </row>
    <row r="86" spans="2:6" x14ac:dyDescent="0.2">
      <c r="B86" s="22"/>
      <c r="C86" s="22"/>
      <c r="D86" s="15"/>
      <c r="E86" s="15"/>
    </row>
    <row r="87" spans="2:6" x14ac:dyDescent="0.2">
      <c r="B87" s="14"/>
      <c r="C87" s="22"/>
      <c r="D87" s="15"/>
      <c r="E87" s="15"/>
    </row>
    <row r="88" spans="2:6" x14ac:dyDescent="0.2">
      <c r="B88" s="14"/>
      <c r="C88" s="22"/>
      <c r="D88" s="15"/>
      <c r="E88" s="15"/>
    </row>
    <row r="89" spans="2:6" x14ac:dyDescent="0.2">
      <c r="B89" s="14"/>
      <c r="C89" s="14"/>
      <c r="D89" s="14"/>
      <c r="E89" s="14"/>
    </row>
    <row r="90" spans="2:6" x14ac:dyDescent="0.2">
      <c r="B90" s="19"/>
      <c r="C90" s="18"/>
      <c r="D90" s="14"/>
      <c r="E90" s="17"/>
    </row>
    <row r="91" spans="2:6" x14ac:dyDescent="0.2">
      <c r="B91" s="22"/>
      <c r="C91" s="22"/>
      <c r="D91" s="15"/>
      <c r="E91" s="15"/>
    </row>
    <row r="92" spans="2:6" x14ac:dyDescent="0.2">
      <c r="B92" s="14"/>
      <c r="C92" s="14"/>
      <c r="D92" s="14"/>
      <c r="E92" s="14"/>
    </row>
    <row r="93" spans="2:6" x14ac:dyDescent="0.2">
      <c r="B93" s="14"/>
      <c r="C93" s="14"/>
      <c r="D93" s="14"/>
      <c r="E93" s="14"/>
    </row>
  </sheetData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</dc:creator>
  <cp:lastModifiedBy>USER</cp:lastModifiedBy>
  <cp:lastPrinted>2026-01-01T09:56:37Z</cp:lastPrinted>
  <dcterms:created xsi:type="dcterms:W3CDTF">2022-10-18T09:12:01Z</dcterms:created>
  <dcterms:modified xsi:type="dcterms:W3CDTF">2026-01-01T09:56:42Z</dcterms:modified>
</cp:coreProperties>
</file>