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</workbook>
</file>

<file path=xl/sharedStrings.xml><?xml version="1.0" encoding="utf-8"?>
<sst xmlns="http://schemas.openxmlformats.org/spreadsheetml/2006/main" count="34" uniqueCount="30">
  <si>
    <t xml:space="preserve">שנה </t>
  </si>
  <si>
    <t xml:space="preserve">ת מסמך </t>
  </si>
  <si>
    <t xml:space="preserve">ת פרעון </t>
  </si>
  <si>
    <t xml:space="preserve">סוג </t>
  </si>
  <si>
    <t xml:space="preserve">מסמך </t>
  </si>
  <si>
    <t xml:space="preserve">פרטים </t>
  </si>
  <si>
    <t xml:space="preserve">אסמכתה </t>
  </si>
  <si>
    <t>חובה</t>
  </si>
  <si>
    <t xml:space="preserve">זכות </t>
  </si>
  <si>
    <t xml:space="preserve">יתרה </t>
  </si>
  <si>
    <t xml:space="preserve">נהריה אין </t>
  </si>
  <si>
    <t>428654 - קינג קונג חורב בע"מ</t>
  </si>
  <si>
    <t xml:space="preserve">חדרה </t>
  </si>
  <si>
    <t>קונסיגנציה יזוכה לאח</t>
  </si>
  <si>
    <t>6,129.95 ח</t>
  </si>
  <si>
    <t>חשבונית מס מכירות</t>
  </si>
  <si>
    <t>7,280.59 ח</t>
  </si>
  <si>
    <t>7,972.73 ח</t>
  </si>
  <si>
    <t>זיכוי בגין החזר סיר</t>
  </si>
  <si>
    <t>4,424.43 ח</t>
  </si>
  <si>
    <t xml:space="preserve">סך הכל </t>
  </si>
  <si>
    <t xml:space="preserve">קינג קונג קרמיאל </t>
  </si>
  <si>
    <t>1,111.84 ח</t>
  </si>
  <si>
    <t>428757 - קינג קונג סניף קרית אתא</t>
  </si>
  <si>
    <t>חשבונית החזר מכירות</t>
  </si>
  <si>
    <t>2,010.58 ח</t>
  </si>
  <si>
    <t>3,257.11 ח</t>
  </si>
  <si>
    <t>748212 - קינג קונג רעננה (אטפה בע"מ)</t>
  </si>
  <si>
    <t>3,462.19 ח</t>
  </si>
  <si>
    <t xml:space="preserve">סך הכל כל הסניפים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</si>
</sst>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Tahoma"/>
    </font>
    <font/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B3E6A6"/>
        <bgColor rgb="FFB3E6A6"/>
      </patternFill>
    </fill>
  </fills>
  <borders count="4">
    <border/>
    <border>
      <right style="thin">
        <color rgb="FFA9A9A9"/>
      </right>
      <top style="thin">
        <color rgb="FFA9A9A9"/>
      </top>
    </border>
    <border>
      <right style="thin">
        <color rgb="FF008000"/>
      </right>
      <top style="thin">
        <color rgb="FFA9A9A9"/>
      </top>
    </border>
    <border>
      <top style="thin">
        <color rgb="FFA9A9A9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1" fillId="4" fontId="2" numFmtId="0" xfId="0" applyAlignment="1" applyBorder="1" applyFill="1" applyFont="1">
      <alignment horizontal="right" readingOrder="0"/>
    </xf>
    <xf borderId="2" fillId="4" fontId="2" numFmtId="164" xfId="0" applyAlignment="1" applyBorder="1" applyFont="1" applyNumberFormat="1">
      <alignment horizontal="right"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4" fontId="2" numFmtId="4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/>
    </xf>
    <xf borderId="1" fillId="5" fontId="2" numFmtId="0" xfId="0" applyAlignment="1" applyBorder="1" applyFill="1" applyFont="1">
      <alignment horizontal="right" readingOrder="0"/>
    </xf>
    <xf borderId="2" fillId="5" fontId="2" numFmtId="164" xfId="0" applyAlignment="1" applyBorder="1" applyFont="1" applyNumberFormat="1">
      <alignment horizontal="right" readingOrder="0"/>
    </xf>
    <xf borderId="1" fillId="5" fontId="2" numFmtId="165" xfId="0" applyAlignment="1" applyBorder="1" applyFont="1" applyNumberFormat="1">
      <alignment horizontal="right" readingOrder="0"/>
    </xf>
    <xf borderId="1" fillId="5" fontId="2" numFmtId="0" xfId="0" applyAlignment="1" applyBorder="1" applyFont="1">
      <alignment horizontal="right" readingOrder="0"/>
    </xf>
    <xf borderId="1" fillId="5" fontId="2" numFmtId="4" xfId="0" applyAlignment="1" applyBorder="1" applyFont="1" applyNumberFormat="1">
      <alignment horizontal="right" readingOrder="0"/>
    </xf>
    <xf borderId="1" fillId="5" fontId="2" numFmtId="0" xfId="0" applyAlignment="1" applyBorder="1" applyFont="1">
      <alignment horizontal="right"/>
    </xf>
    <xf borderId="0" fillId="6" fontId="1" numFmtId="0" xfId="0" applyAlignment="1" applyFill="1" applyFont="1">
      <alignment readingOrder="0"/>
    </xf>
    <xf borderId="0" fillId="6" fontId="1" numFmtId="4" xfId="0" applyFont="1" applyNumberFormat="1"/>
    <xf borderId="1" fillId="5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 readingOrder="0"/>
    </xf>
    <xf borderId="3" fillId="0" fontId="3" numFmtId="0" xfId="0" applyBorder="1" applyFont="1"/>
    <xf borderId="1" fillId="4" fontId="2" numFmtId="0" xfId="0" applyAlignment="1" applyBorder="1" applyFont="1">
      <alignment horizontal="center" readingOrder="0"/>
    </xf>
    <xf borderId="2" fillId="4" fontId="2" numFmtId="165" xfId="0" applyAlignment="1" applyBorder="1" applyFont="1" applyNumberFormat="1">
      <alignment horizontal="center" readingOrder="0"/>
    </xf>
    <xf borderId="1" fillId="4" fontId="2" numFmtId="165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4" fontId="2" numFmtId="4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center"/>
    </xf>
    <xf borderId="1" fillId="5" fontId="2" numFmtId="0" xfId="0" applyAlignment="1" applyBorder="1" applyFont="1">
      <alignment horizontal="center" readingOrder="0"/>
    </xf>
    <xf borderId="2" fillId="5" fontId="2" numFmtId="164" xfId="0" applyAlignment="1" applyBorder="1" applyFont="1" applyNumberFormat="1">
      <alignment horizontal="center" readingOrder="0"/>
    </xf>
    <xf borderId="1" fillId="5" fontId="2" numFmtId="165" xfId="0" applyAlignment="1" applyBorder="1" applyFont="1" applyNumberFormat="1">
      <alignment horizontal="center" readingOrder="0"/>
    </xf>
    <xf borderId="1" fillId="5" fontId="2" numFmtId="4" xfId="0" applyAlignment="1" applyBorder="1" applyFont="1" applyNumberFormat="1">
      <alignment horizontal="center" readingOrder="0"/>
    </xf>
    <xf borderId="1" fillId="5" fontId="2" numFmtId="0" xfId="0" applyAlignment="1" applyBorder="1" applyFont="1">
      <alignment horizontal="center"/>
    </xf>
    <xf borderId="0" fillId="6" fontId="1" numFmtId="0" xfId="0" applyFont="1"/>
    <xf borderId="1" fillId="7" fontId="2" numFmtId="0" xfId="0" applyAlignment="1" applyBorder="1" applyFill="1" applyFont="1">
      <alignment horizontal="right" readingOrder="0"/>
    </xf>
    <xf borderId="2" fillId="7" fontId="2" numFmtId="165" xfId="0" applyAlignment="1" applyBorder="1" applyFont="1" applyNumberFormat="1">
      <alignment horizontal="right" readingOrder="0"/>
    </xf>
    <xf borderId="1" fillId="7" fontId="2" numFmtId="165" xfId="0" applyAlignment="1" applyBorder="1" applyFont="1" applyNumberFormat="1">
      <alignment horizontal="right" readingOrder="0"/>
    </xf>
    <xf borderId="1" fillId="7" fontId="2" numFmtId="0" xfId="0" applyAlignment="1" applyBorder="1" applyFont="1">
      <alignment horizontal="right" readingOrder="0"/>
    </xf>
    <xf borderId="1" fillId="7" fontId="2" numFmtId="4" xfId="0" applyAlignment="1" applyBorder="1" applyFont="1" applyNumberFormat="1">
      <alignment horizontal="right" readingOrder="0"/>
    </xf>
    <xf borderId="1" fillId="7" fontId="2" numFmtId="0" xfId="0" applyAlignment="1" applyBorder="1" applyFont="1">
      <alignment horizontal="right"/>
    </xf>
    <xf borderId="0" fillId="2" fontId="1" numFmtId="0" xfId="0" applyAlignment="1" applyFont="1">
      <alignment horizontal="center" readingOrder="0"/>
    </xf>
    <xf borderId="0" fillId="2" fontId="1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6" max="6" width="13.75"/>
    <col customWidth="1" min="7" max="7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</row>
    <row r="3">
      <c r="A3" s="2" t="s">
        <v>11</v>
      </c>
    </row>
    <row r="4">
      <c r="A4" s="2" t="s">
        <v>12</v>
      </c>
    </row>
    <row r="5">
      <c r="A5" s="3">
        <v>2025.0</v>
      </c>
      <c r="B5" s="4">
        <v>45945.0</v>
      </c>
      <c r="C5" s="5">
        <v>45996.0</v>
      </c>
      <c r="D5" s="3">
        <v>650.0</v>
      </c>
      <c r="E5" s="3">
        <v>6502910.0</v>
      </c>
      <c r="F5" s="6" t="s">
        <v>13</v>
      </c>
      <c r="G5" s="3">
        <v>6502910.0</v>
      </c>
      <c r="H5" s="7">
        <v>3548.3</v>
      </c>
      <c r="I5" s="8"/>
      <c r="J5" s="6" t="s">
        <v>14</v>
      </c>
    </row>
    <row r="6">
      <c r="A6" s="9">
        <v>2025.0</v>
      </c>
      <c r="B6" s="10">
        <v>45986.0</v>
      </c>
      <c r="C6" s="11">
        <v>46026.0</v>
      </c>
      <c r="D6" s="9">
        <v>650.0</v>
      </c>
      <c r="E6" s="9">
        <v>6503475.0</v>
      </c>
      <c r="F6" s="12" t="s">
        <v>15</v>
      </c>
      <c r="G6" s="9">
        <v>6503475.0</v>
      </c>
      <c r="H6" s="13">
        <v>1150.64</v>
      </c>
      <c r="I6" s="14"/>
      <c r="J6" s="12" t="s">
        <v>16</v>
      </c>
    </row>
    <row r="7">
      <c r="A7" s="3">
        <v>2025.0</v>
      </c>
      <c r="B7" s="4">
        <v>46014.0</v>
      </c>
      <c r="C7" s="5">
        <v>46057.0</v>
      </c>
      <c r="D7" s="3">
        <v>650.0</v>
      </c>
      <c r="E7" s="3">
        <v>6503839.0</v>
      </c>
      <c r="F7" s="6" t="s">
        <v>15</v>
      </c>
      <c r="G7" s="3">
        <v>6503839.0</v>
      </c>
      <c r="H7" s="3">
        <v>692.14</v>
      </c>
      <c r="I7" s="8"/>
      <c r="J7" s="6" t="s">
        <v>17</v>
      </c>
    </row>
    <row r="8">
      <c r="A8" s="9">
        <v>2025.0</v>
      </c>
      <c r="B8" s="10">
        <v>46022.0</v>
      </c>
      <c r="C8" s="11">
        <v>46057.0</v>
      </c>
      <c r="D8" s="9">
        <v>629.0</v>
      </c>
      <c r="E8" s="9">
        <v>6290113.0</v>
      </c>
      <c r="F8" s="12" t="s">
        <v>18</v>
      </c>
      <c r="G8" s="14"/>
      <c r="H8" s="13">
        <v>-3548.3</v>
      </c>
      <c r="I8" s="14"/>
      <c r="J8" s="12" t="s">
        <v>19</v>
      </c>
    </row>
    <row r="9">
      <c r="G9" s="15" t="s">
        <v>20</v>
      </c>
      <c r="H9" s="16">
        <f>SUM(H5:H8)</f>
        <v>1842.78</v>
      </c>
    </row>
    <row r="10">
      <c r="A10" s="2" t="s">
        <v>21</v>
      </c>
    </row>
    <row r="11">
      <c r="A11" s="9">
        <v>2025.0</v>
      </c>
      <c r="B11" s="10">
        <v>45980.0</v>
      </c>
      <c r="C11" s="11">
        <v>46051.0</v>
      </c>
      <c r="D11" s="9">
        <v>650.0</v>
      </c>
      <c r="E11" s="9">
        <v>6503399.0</v>
      </c>
      <c r="F11" s="12" t="s">
        <v>15</v>
      </c>
      <c r="G11" s="9">
        <v>6503399.0</v>
      </c>
      <c r="H11" s="13">
        <v>1111.84</v>
      </c>
      <c r="I11" s="14"/>
      <c r="J11" s="17" t="s">
        <v>22</v>
      </c>
    </row>
    <row r="12">
      <c r="A12" s="18" t="s">
        <v>23</v>
      </c>
      <c r="B12" s="19"/>
      <c r="C12" s="19"/>
      <c r="D12" s="19"/>
      <c r="E12" s="19"/>
      <c r="F12" s="19"/>
      <c r="G12" s="19"/>
      <c r="H12" s="19"/>
      <c r="I12" s="19"/>
      <c r="J12" s="19"/>
    </row>
    <row r="13">
      <c r="A13" s="20">
        <v>2025.0</v>
      </c>
      <c r="B13" s="21">
        <v>45903.0</v>
      </c>
      <c r="C13" s="22">
        <v>45933.0</v>
      </c>
      <c r="D13" s="20">
        <v>651.0</v>
      </c>
      <c r="E13" s="20">
        <v>6510201.0</v>
      </c>
      <c r="F13" s="23" t="s">
        <v>24</v>
      </c>
      <c r="G13" s="20">
        <v>6510201.0</v>
      </c>
      <c r="H13" s="24">
        <v>-1263.78</v>
      </c>
      <c r="I13" s="25"/>
      <c r="J13" s="23" t="s">
        <v>25</v>
      </c>
    </row>
    <row r="14">
      <c r="A14" s="26">
        <v>2025.0</v>
      </c>
      <c r="B14" s="27">
        <v>46007.0</v>
      </c>
      <c r="C14" s="28">
        <v>46037.0</v>
      </c>
      <c r="D14" s="26">
        <v>650.0</v>
      </c>
      <c r="E14" s="26">
        <v>6503779.0</v>
      </c>
      <c r="F14" s="17" t="s">
        <v>15</v>
      </c>
      <c r="G14" s="26">
        <v>6503779.0</v>
      </c>
      <c r="H14" s="29">
        <v>1246.53</v>
      </c>
      <c r="I14" s="30"/>
      <c r="J14" s="17" t="s">
        <v>26</v>
      </c>
    </row>
    <row r="15">
      <c r="G15" s="31"/>
      <c r="H15" s="16">
        <f>SUM(H13:H14)</f>
        <v>-17.25</v>
      </c>
    </row>
    <row r="16">
      <c r="A16" s="2" t="s">
        <v>27</v>
      </c>
    </row>
    <row r="17">
      <c r="A17" s="32">
        <v>2025.0</v>
      </c>
      <c r="B17" s="33">
        <v>45965.0</v>
      </c>
      <c r="C17" s="34">
        <v>46036.0</v>
      </c>
      <c r="D17" s="32">
        <v>650.0</v>
      </c>
      <c r="E17" s="32">
        <v>6503179.0</v>
      </c>
      <c r="F17" s="35" t="s">
        <v>15</v>
      </c>
      <c r="G17" s="32">
        <v>6503179.0</v>
      </c>
      <c r="H17" s="36">
        <v>2028.49</v>
      </c>
      <c r="I17" s="37"/>
      <c r="J17" s="35" t="s">
        <v>28</v>
      </c>
    </row>
    <row r="20">
      <c r="G20" s="38" t="s">
        <v>29</v>
      </c>
      <c r="H20" s="39">
        <f>H9+H11+H15+H17</f>
        <v>4965.86</v>
      </c>
    </row>
  </sheetData>
  <mergeCells count="6">
    <mergeCell ref="A2:J2"/>
    <mergeCell ref="A3:J3"/>
    <mergeCell ref="A4:J4"/>
    <mergeCell ref="A10:J10"/>
    <mergeCell ref="A12:J12"/>
    <mergeCell ref="A16:J16"/>
  </mergeCells>
  <drawing r:id="rId1"/>
</worksheet>
</file>