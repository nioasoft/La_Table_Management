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2D36F658-0087-4752-A682-610D745BDFCC}" xr6:coauthVersionLast="47" xr6:coauthVersionMax="47" xr10:uidLastSave="{00000000-0000-0000-0000-000000000000}"/>
  <bookViews>
    <workbookView xWindow="-120" yWindow="-120" windowWidth="29040" windowHeight="15720" xr2:uid="{1BE68B96-70FE-44E7-91B4-4CA64006AA99}"/>
  </bookViews>
  <sheets>
    <sheet name="לה טייבל+הרשות לניירות ערך" sheetId="1" r:id="rId1"/>
  </sheets>
  <externalReferences>
    <externalReference r:id="rId2"/>
    <externalReference r:id="rId3"/>
  </externalReferences>
  <definedNames>
    <definedName name="All_Table">'[1]B2B discount matrix (2)'!$A$1:$L$1017</definedName>
    <definedName name="Channel">[2]Setup!$B$2:$B$3</definedName>
    <definedName name="Club_Number">'[1]B2B discount matrix (2)'!$A$1:$A$1018</definedName>
    <definedName name="machine_Type2">'[1]B2B discount matrix (2)'!$A$1:$L$1</definedName>
    <definedName name="Type">[2]Setup!$C$2:$C$11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E33" i="1" s="1"/>
  <c r="E36" i="1" l="1"/>
  <c r="C2" i="1" s="1"/>
</calcChain>
</file>

<file path=xl/sharedStrings.xml><?xml version="1.0" encoding="utf-8"?>
<sst xmlns="http://schemas.openxmlformats.org/spreadsheetml/2006/main" count="35" uniqueCount="34">
  <si>
    <t>See below</t>
  </si>
  <si>
    <t xml:space="preserve">לה טייבל </t>
  </si>
  <si>
    <t>Quantity of caps</t>
  </si>
  <si>
    <t>Turnover (with VAT)</t>
  </si>
  <si>
    <t>Turnover</t>
  </si>
  <si>
    <t>מספר קפסולות</t>
  </si>
  <si>
    <t>מחזור (כולל מע"מ)</t>
  </si>
  <si>
    <t>מחזור נטו</t>
  </si>
  <si>
    <t>קסטרא טומאיי בע"מ</t>
  </si>
  <si>
    <t>פט ויני עזריאלי בע"מ</t>
  </si>
  <si>
    <t>ויני רגבה בע"מ</t>
  </si>
  <si>
    <t>פט ויני (ניהול מותג) בע"מ</t>
  </si>
  <si>
    <t>מיאמוטו בעמ</t>
  </si>
  <si>
    <t>קינג קונג ביג בע"מ</t>
  </si>
  <si>
    <t>ויני כרמיאל בעמ</t>
  </si>
  <si>
    <t>קינג קונג חורב בע"מ</t>
  </si>
  <si>
    <t>אטפה בע"מ - קינג קונג רעננה</t>
  </si>
  <si>
    <t>קינג כרמיאל בע"מ</t>
  </si>
  <si>
    <t>קינג געתון בע"מ</t>
  </si>
  <si>
    <t>קינג קונג חדרה בע"מ</t>
  </si>
  <si>
    <t>דארת בע"מ</t>
  </si>
  <si>
    <t>אודון ניהול ואחזקות</t>
  </si>
  <si>
    <t>טמפר הסעדה בע"מ</t>
  </si>
  <si>
    <t>אושיבה בע"מ</t>
  </si>
  <si>
    <t>מינה שרונה בע"מ</t>
  </si>
  <si>
    <t>סידיוס בע"מ</t>
  </si>
  <si>
    <t>מינה טומי עין שמר</t>
  </si>
  <si>
    <t>ויני חדרה מול החוף בע"מ</t>
  </si>
  <si>
    <t>סה"כ</t>
  </si>
  <si>
    <t xml:space="preserve"> </t>
  </si>
  <si>
    <t>מדרגת הנחה</t>
  </si>
  <si>
    <t>סה"כ זיכוי</t>
  </si>
  <si>
    <t>על סכום הזיכוי יתווסף מע"מ</t>
  </si>
  <si>
    <t>הפרשה לרבעון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</si>
</sst>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_ * #,##0.00_ ;_ * \-#,##0.00_ ;_ * &quot;-&quot;??_ ;_ @_ "/>
  </numFmts>
  <fonts count="6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0"/>
      <name val="Aptos Narrow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64" fontId="0" fillId="3" borderId="0" xfId="0" applyNumberFormat="1" applyFill="1"/>
    <xf numFmtId="0" fontId="2" fillId="0" borderId="0" xfId="2"/>
    <xf numFmtId="0" fontId="2" fillId="0" borderId="0" xfId="2" applyAlignment="1">
      <alignment horizontal="center"/>
    </xf>
    <xf numFmtId="0" fontId="1" fillId="4" borderId="0" xfId="0" applyFont="1" applyFill="1" applyAlignment="1">
      <alignment horizontal="center"/>
    </xf>
    <xf numFmtId="164" fontId="0" fillId="0" borderId="0" xfId="3" applyNumberFormat="1" applyFont="1"/>
    <xf numFmtId="165" fontId="0" fillId="0" borderId="0" xfId="3" applyFont="1"/>
    <xf numFmtId="0" fontId="0" fillId="0" borderId="0" xfId="0" applyAlignment="1">
      <alignment horizontal="center"/>
    </xf>
    <xf numFmtId="164" fontId="5" fillId="2" borderId="0" xfId="1" applyNumberFormat="1"/>
    <xf numFmtId="164" fontId="2" fillId="0" borderId="0" xfId="2" applyNumberFormat="1"/>
    <xf numFmtId="165" fontId="2" fillId="5" borderId="0" xfId="2" applyNumberFormat="1" applyFill="1"/>
  </cellXfs>
  <cellStyles count="5">
    <cellStyle name="Accent5" xfId="1" builtinId="45"/>
    <cellStyle name="Comma 2" xfId="3" xr:uid="{C23AAF74-ADA1-4871-AA70-7467B03C4A7E}"/>
    <cellStyle name="Comma 3" xfId="4" xr:uid="{C83CF941-E4ED-4D3B-BE57-7E92EA046E18}"/>
    <cellStyle name="Normal" xfId="0" builtinId="0"/>
    <cellStyle name="Normal 6" xfId="2" xr:uid="{0966E85F-2082-48F9-9026-68093DB3D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623454</xdr:colOff>
      <xdr:row>21</xdr:row>
      <xdr:rowOff>6063</xdr:rowOff>
    </xdr:from>
    <xdr:to>
      <xdr:col>19</xdr:col>
      <xdr:colOff>306706</xdr:colOff>
      <xdr:row>52</xdr:row>
      <xdr:rowOff>11928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A758B91-4E52-4EC6-A42D-48AF74D2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5979" y="4358988"/>
          <a:ext cx="9093952" cy="56160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NPTW0000.nestle.com\Workgroup\FINANCES\2018\Monthly%20Reports\5-2018\B2B%20Bonus%20Credit%20Note%201-5.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NPTW0000.nestle.com\Workgroup\ADMINIST\Controlling\2014\Corporate%20Controlling\Transfer%20Prices\TP%202014%20final%20(HQ%20template)%20without%20coffee%20Test%20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 1-5. 2018"/>
      <sheetName val="B2B discount matrix"/>
      <sheetName val="261DB"/>
      <sheetName val="DB 711"/>
      <sheetName val="GET &amp; KEEP"/>
      <sheetName val="מטריצת הנחות קפה"/>
      <sheetName val="Taarif"/>
      <sheetName val="מחירי קפה"/>
      <sheetName val="מכונות"/>
      <sheetName val="Contracts types"/>
      <sheetName val="DB 261 PRO H1 2016"/>
      <sheetName val="B2B discount matr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מספר לקוח</v>
          </cell>
          <cell r="B1" t="str">
            <v>שם לקוח</v>
          </cell>
          <cell r="C1" t="str">
            <v>Segment</v>
          </cell>
          <cell r="D1" t="str">
            <v>Base contract</v>
          </cell>
          <cell r="E1" t="str">
            <v>Qty Zenius</v>
          </cell>
          <cell r="F1" t="str">
            <v xml:space="preserve"> Zenius</v>
          </cell>
          <cell r="G1" t="str">
            <v>Qty Gemini</v>
          </cell>
          <cell r="H1" t="str">
            <v>Gemini</v>
          </cell>
          <cell r="I1" t="str">
            <v>Qty Aguila 220</v>
          </cell>
          <cell r="J1" t="str">
            <v>Aguila 220</v>
          </cell>
          <cell r="K1" t="str">
            <v>Qty AGUILA 420</v>
          </cell>
          <cell r="L1" t="str">
            <v>AGUILA 420</v>
          </cell>
        </row>
        <row r="2">
          <cell r="A2">
            <v>7294277</v>
          </cell>
          <cell r="B2" t="str">
            <v>גרנד ביי מלונות בע"מ</v>
          </cell>
          <cell r="C2" t="str">
            <v>HORECA</v>
          </cell>
          <cell r="D2" t="str">
            <v>OPERATING</v>
          </cell>
          <cell r="E2"/>
          <cell r="F2"/>
          <cell r="G2">
            <v>2</v>
          </cell>
          <cell r="H2">
            <v>600</v>
          </cell>
          <cell r="I2"/>
          <cell r="J2"/>
          <cell r="K2">
            <v>1</v>
          </cell>
          <cell r="L2">
            <v>2500</v>
          </cell>
        </row>
        <row r="3">
          <cell r="A3">
            <v>7326193</v>
          </cell>
          <cell r="B3" t="str">
            <v>קדוש שלומי</v>
          </cell>
          <cell r="C3" t="str">
            <v>OFFICE</v>
          </cell>
          <cell r="D3" t="str">
            <v>OPERATING</v>
          </cell>
          <cell r="E3"/>
          <cell r="F3"/>
          <cell r="G3">
            <v>1</v>
          </cell>
          <cell r="H3">
            <v>200</v>
          </cell>
          <cell r="I3"/>
          <cell r="J3"/>
          <cell r="K3"/>
          <cell r="L3"/>
        </row>
        <row r="4">
          <cell r="A4">
            <v>7297405</v>
          </cell>
          <cell r="B4" t="str">
            <v>647 בע"מ</v>
          </cell>
          <cell r="C4" t="str">
            <v>HORECA</v>
          </cell>
          <cell r="D4" t="str">
            <v>OPERATING</v>
          </cell>
          <cell r="E4"/>
          <cell r="F4"/>
          <cell r="G4"/>
          <cell r="H4"/>
          <cell r="I4"/>
          <cell r="J4"/>
          <cell r="K4">
            <v>1</v>
          </cell>
          <cell r="L4">
            <v>2000</v>
          </cell>
        </row>
        <row r="5">
          <cell r="A5">
            <v>7287072</v>
          </cell>
          <cell r="B5" t="str">
            <v>דן אכדיה</v>
          </cell>
          <cell r="C5" t="str">
            <v>HORECA</v>
          </cell>
          <cell r="D5" t="str">
            <v>OPERATING</v>
          </cell>
          <cell r="E5"/>
          <cell r="F5"/>
          <cell r="G5">
            <v>1</v>
          </cell>
          <cell r="H5">
            <v>600</v>
          </cell>
          <cell r="I5"/>
          <cell r="J5"/>
          <cell r="K5"/>
          <cell r="L5"/>
        </row>
        <row r="6">
          <cell r="A6">
            <v>7305600</v>
          </cell>
          <cell r="B6" t="str">
            <v>חברת מלונות דן בע"מ</v>
          </cell>
          <cell r="C6" t="str">
            <v>HORECA</v>
          </cell>
          <cell r="D6" t="str">
            <v>OPERATING</v>
          </cell>
          <cell r="E6">
            <v>2</v>
          </cell>
          <cell r="F6">
            <v>200</v>
          </cell>
          <cell r="G6">
            <v>1</v>
          </cell>
          <cell r="H6">
            <v>600</v>
          </cell>
          <cell r="I6"/>
          <cell r="J6"/>
          <cell r="K6"/>
          <cell r="L6"/>
        </row>
        <row r="7">
          <cell r="A7">
            <v>7311417</v>
          </cell>
          <cell r="B7" t="str">
            <v>מלונות דן בע"מ (מלון המלך דיוויד)</v>
          </cell>
          <cell r="C7" t="str">
            <v>HORECA</v>
          </cell>
          <cell r="D7" t="str">
            <v>OPERATING</v>
          </cell>
          <cell r="E7">
            <v>2</v>
          </cell>
          <cell r="F7">
            <v>200</v>
          </cell>
          <cell r="G7"/>
          <cell r="H7"/>
          <cell r="I7"/>
          <cell r="J7"/>
          <cell r="K7"/>
          <cell r="L7"/>
        </row>
        <row r="8">
          <cell r="A8">
            <v>7312686</v>
          </cell>
          <cell r="B8" t="str">
            <v>מלון דן כרמל</v>
          </cell>
          <cell r="C8" t="str">
            <v>HORECA</v>
          </cell>
          <cell r="D8" t="str">
            <v>OPERATING</v>
          </cell>
          <cell r="E8">
            <v>1</v>
          </cell>
          <cell r="F8">
            <v>200</v>
          </cell>
          <cell r="G8">
            <v>1</v>
          </cell>
          <cell r="H8">
            <v>600</v>
          </cell>
          <cell r="I8"/>
          <cell r="J8"/>
          <cell r="K8"/>
          <cell r="L8"/>
        </row>
        <row r="9">
          <cell r="A9">
            <v>7313611</v>
          </cell>
          <cell r="B9" t="str">
            <v>צ.ה.פיטרו בע"מ (מסעדת restart)</v>
          </cell>
          <cell r="C9" t="str">
            <v>HORECA</v>
          </cell>
          <cell r="D9" t="str">
            <v>OPERATING</v>
          </cell>
          <cell r="E9"/>
          <cell r="F9"/>
          <cell r="G9"/>
          <cell r="H9"/>
          <cell r="I9"/>
          <cell r="J9"/>
          <cell r="K9"/>
          <cell r="L9"/>
        </row>
        <row r="10">
          <cell r="A10">
            <v>7318295</v>
          </cell>
          <cell r="B10" t="str">
            <v>מלון דן ירושלים</v>
          </cell>
          <cell r="C10" t="str">
            <v>HORECA</v>
          </cell>
          <cell r="D10" t="str">
            <v>OPERATING</v>
          </cell>
          <cell r="E10"/>
          <cell r="F10"/>
          <cell r="G10">
            <v>1</v>
          </cell>
          <cell r="H10">
            <v>600</v>
          </cell>
          <cell r="I10"/>
          <cell r="J10"/>
          <cell r="K10"/>
          <cell r="L10"/>
        </row>
        <row r="11">
          <cell r="A11">
            <v>7320586</v>
          </cell>
          <cell r="B11" t="str">
            <v>קולפלו תוכנה בע"מ</v>
          </cell>
          <cell r="C11" t="str">
            <v>OFFICE</v>
          </cell>
          <cell r="D11" t="str">
            <v>OPERATING</v>
          </cell>
          <cell r="E11">
            <v>4</v>
          </cell>
          <cell r="F11">
            <v>200</v>
          </cell>
          <cell r="G11"/>
          <cell r="H11"/>
          <cell r="I11"/>
          <cell r="J11"/>
          <cell r="K11"/>
          <cell r="L11"/>
        </row>
        <row r="12">
          <cell r="A12">
            <v>7325369</v>
          </cell>
          <cell r="B12" t="str">
            <v>סזרינה בע"מ</v>
          </cell>
          <cell r="C12" t="str">
            <v>HORECA</v>
          </cell>
          <cell r="D12" t="str">
            <v>OPERATING</v>
          </cell>
          <cell r="E12"/>
          <cell r="F12"/>
          <cell r="G12"/>
          <cell r="H12"/>
          <cell r="I12"/>
          <cell r="J12"/>
          <cell r="K12"/>
          <cell r="L12"/>
        </row>
        <row r="13">
          <cell r="A13">
            <v>7335976</v>
          </cell>
          <cell r="B13" t="str">
            <v>תגלית אסייתית חדשה (טאיזו)</v>
          </cell>
          <cell r="C13" t="str">
            <v>HORECA</v>
          </cell>
          <cell r="D13" t="str">
            <v>OPERATING</v>
          </cell>
          <cell r="E13"/>
          <cell r="F13"/>
          <cell r="G13"/>
          <cell r="H13"/>
          <cell r="I13">
            <v>1</v>
          </cell>
          <cell r="J13">
            <v>3000</v>
          </cell>
          <cell r="K13"/>
          <cell r="L13"/>
        </row>
        <row r="14">
          <cell r="A14">
            <v>7336877</v>
          </cell>
          <cell r="B14" t="str">
            <v>מלון דן אילת</v>
          </cell>
          <cell r="C14" t="str">
            <v>HORECA</v>
          </cell>
          <cell r="D14" t="str">
            <v>OPERATING</v>
          </cell>
          <cell r="E14"/>
          <cell r="F14"/>
          <cell r="G14">
            <v>2</v>
          </cell>
          <cell r="H14">
            <v>600</v>
          </cell>
          <cell r="I14"/>
          <cell r="J14"/>
          <cell r="K14"/>
          <cell r="L14"/>
        </row>
        <row r="15">
          <cell r="A15">
            <v>7351060</v>
          </cell>
          <cell r="B15" t="str">
            <v>א.מ.ש קרלטון ת"א תיירות ונכסים בע"מ</v>
          </cell>
          <cell r="C15" t="str">
            <v>HORECA</v>
          </cell>
          <cell r="D15" t="str">
            <v>OPERATING</v>
          </cell>
          <cell r="E15">
            <v>2</v>
          </cell>
          <cell r="F15">
            <v>200</v>
          </cell>
          <cell r="G15">
            <v>5</v>
          </cell>
          <cell r="H15">
            <v>600</v>
          </cell>
          <cell r="I15">
            <v>3</v>
          </cell>
          <cell r="J15">
            <v>3000</v>
          </cell>
          <cell r="K15"/>
          <cell r="L15"/>
        </row>
        <row r="16">
          <cell r="A16">
            <v>7275044</v>
          </cell>
          <cell r="B16" t="str">
            <v>פדני תכשיטנים בע"מ</v>
          </cell>
          <cell r="C16" t="str">
            <v>OFFICE</v>
          </cell>
          <cell r="D16" t="str">
            <v>OPERATING</v>
          </cell>
          <cell r="E16">
            <v>8</v>
          </cell>
          <cell r="F16">
            <v>200</v>
          </cell>
          <cell r="G16">
            <v>3</v>
          </cell>
          <cell r="H16">
            <v>600</v>
          </cell>
          <cell r="I16"/>
          <cell r="J16"/>
          <cell r="K16"/>
          <cell r="L16"/>
        </row>
        <row r="17">
          <cell r="A17">
            <v>7282420</v>
          </cell>
          <cell r="B17" t="str">
            <v>גולמט בע"מ</v>
          </cell>
          <cell r="C17" t="str">
            <v>OFFICE</v>
          </cell>
          <cell r="D17" t="str">
            <v>OPERATING</v>
          </cell>
          <cell r="E17"/>
          <cell r="F17"/>
          <cell r="G17">
            <v>1</v>
          </cell>
          <cell r="H17">
            <v>600</v>
          </cell>
          <cell r="I17"/>
          <cell r="J17"/>
          <cell r="K17"/>
          <cell r="L17"/>
        </row>
        <row r="18">
          <cell r="A18">
            <v>7282745</v>
          </cell>
          <cell r="B18" t="str">
            <v>אלרוב מלונות יוקרה (1993) בע"מ</v>
          </cell>
          <cell r="C18" t="str">
            <v>HORECA</v>
          </cell>
          <cell r="D18" t="str">
            <v>OPERATING</v>
          </cell>
          <cell r="E18"/>
          <cell r="F18"/>
          <cell r="G18">
            <v>4</v>
          </cell>
          <cell r="H18">
            <v>600</v>
          </cell>
          <cell r="I18"/>
          <cell r="J18"/>
          <cell r="K18"/>
          <cell r="L18"/>
        </row>
        <row r="19">
          <cell r="A19">
            <v>7276717</v>
          </cell>
          <cell r="B19" t="str">
            <v>ישרוטל רויאל ביץ'</v>
          </cell>
          <cell r="C19" t="str">
            <v>HORECA</v>
          </cell>
          <cell r="D19" t="str">
            <v>OPERATING</v>
          </cell>
          <cell r="E19"/>
          <cell r="F19"/>
          <cell r="G19">
            <v>2</v>
          </cell>
          <cell r="H19">
            <v>600</v>
          </cell>
          <cell r="I19">
            <v>1</v>
          </cell>
          <cell r="J19">
            <v>0</v>
          </cell>
          <cell r="K19">
            <v>1</v>
          </cell>
          <cell r="L19">
            <v>4000</v>
          </cell>
        </row>
        <row r="20">
          <cell r="A20">
            <v>7289857</v>
          </cell>
          <cell r="B20" t="str">
            <v>ישרוטל ניהול מלונות רויאל ביץ' ת"א</v>
          </cell>
          <cell r="C20" t="str">
            <v>HORECA</v>
          </cell>
          <cell r="D20" t="str">
            <v>OPERATING</v>
          </cell>
          <cell r="E20"/>
          <cell r="F20"/>
          <cell r="G20">
            <v>3</v>
          </cell>
          <cell r="H20">
            <v>600</v>
          </cell>
          <cell r="I20">
            <v>1</v>
          </cell>
          <cell r="J20">
            <v>0</v>
          </cell>
          <cell r="K20"/>
          <cell r="L20"/>
        </row>
        <row r="21">
          <cell r="A21">
            <v>7295848</v>
          </cell>
          <cell r="B21" t="str">
            <v>איירון סורס</v>
          </cell>
          <cell r="C21" t="str">
            <v>OFFICE</v>
          </cell>
          <cell r="D21" t="str">
            <v>OPERATING</v>
          </cell>
          <cell r="E21">
            <v>2</v>
          </cell>
          <cell r="F21">
            <v>250</v>
          </cell>
          <cell r="G21">
            <v>5</v>
          </cell>
          <cell r="H21">
            <v>800</v>
          </cell>
          <cell r="I21"/>
          <cell r="J21"/>
          <cell r="K21"/>
          <cell r="L21"/>
        </row>
        <row r="22">
          <cell r="A22">
            <v>7296849</v>
          </cell>
          <cell r="B22" t="str">
            <v>נורסטאר מדיה בע"מ</v>
          </cell>
          <cell r="C22" t="str">
            <v>OFFICE</v>
          </cell>
          <cell r="D22" t="str">
            <v>OPERATING</v>
          </cell>
          <cell r="E22">
            <v>2</v>
          </cell>
          <cell r="F22">
            <v>200</v>
          </cell>
          <cell r="G22"/>
          <cell r="H22"/>
          <cell r="I22"/>
          <cell r="J22"/>
          <cell r="K22"/>
          <cell r="L22"/>
        </row>
        <row r="23">
          <cell r="A23">
            <v>7302390</v>
          </cell>
          <cell r="B23" t="str">
            <v>טאבטייל בע"מ</v>
          </cell>
          <cell r="C23" t="str">
            <v>OFFICE</v>
          </cell>
          <cell r="D23" t="str">
            <v>OPERATING</v>
          </cell>
          <cell r="E23">
            <v>1</v>
          </cell>
          <cell r="F23">
            <v>200</v>
          </cell>
          <cell r="G23">
            <v>1</v>
          </cell>
          <cell r="H23">
            <v>600</v>
          </cell>
          <cell r="I23"/>
          <cell r="J23"/>
          <cell r="K23"/>
          <cell r="L23"/>
        </row>
        <row r="24">
          <cell r="A24">
            <v>7302208</v>
          </cell>
          <cell r="B24" t="str">
            <v>יו קוראל ביץ קלאב</v>
          </cell>
          <cell r="C24" t="str">
            <v>HORECA</v>
          </cell>
          <cell r="D24" t="str">
            <v>OPERATING</v>
          </cell>
          <cell r="E24"/>
          <cell r="F24"/>
          <cell r="G24">
            <v>1</v>
          </cell>
          <cell r="H24">
            <v>600</v>
          </cell>
          <cell r="I24"/>
          <cell r="J24"/>
          <cell r="K24">
            <v>1</v>
          </cell>
          <cell r="L24">
            <v>6400</v>
          </cell>
        </row>
        <row r="25">
          <cell r="A25">
            <v>7303593</v>
          </cell>
          <cell r="B25" t="str">
            <v>אגמון ושות רוזנברג הכהן ושות'</v>
          </cell>
          <cell r="C25" t="str">
            <v>OFFICE</v>
          </cell>
          <cell r="D25" t="str">
            <v>OPERATING</v>
          </cell>
          <cell r="E25">
            <v>2</v>
          </cell>
          <cell r="F25">
            <v>400</v>
          </cell>
          <cell r="G25">
            <v>4</v>
          </cell>
          <cell r="H25">
            <v>800</v>
          </cell>
          <cell r="I25"/>
          <cell r="J25"/>
          <cell r="K25"/>
          <cell r="L25"/>
        </row>
        <row r="26">
          <cell r="A26">
            <v>7294085</v>
          </cell>
          <cell r="B26" t="str">
            <v>מלון ישרוטל ים המלח בע"מ</v>
          </cell>
          <cell r="C26" t="str">
            <v>HORECA</v>
          </cell>
          <cell r="D26" t="str">
            <v>OPERATING</v>
          </cell>
          <cell r="E26">
            <v>1</v>
          </cell>
          <cell r="F26">
            <v>0</v>
          </cell>
          <cell r="G26"/>
          <cell r="H26"/>
          <cell r="I26"/>
          <cell r="J26"/>
          <cell r="K26">
            <v>1</v>
          </cell>
          <cell r="L26">
            <v>3000</v>
          </cell>
        </row>
        <row r="27">
          <cell r="A27">
            <v>7308148</v>
          </cell>
          <cell r="B27" t="str">
            <v>אורנה לין ושות'</v>
          </cell>
          <cell r="C27" t="str">
            <v>OFFICE</v>
          </cell>
          <cell r="D27" t="str">
            <v>OPERATING</v>
          </cell>
          <cell r="E27">
            <v>1</v>
          </cell>
          <cell r="F27">
            <v>200</v>
          </cell>
          <cell r="G27"/>
          <cell r="H27"/>
          <cell r="I27"/>
          <cell r="J27"/>
          <cell r="K27"/>
          <cell r="L27"/>
        </row>
        <row r="28">
          <cell r="A28">
            <v>7310340</v>
          </cell>
          <cell r="B28" t="str">
            <v>Clarizen</v>
          </cell>
          <cell r="C28" t="str">
            <v>OFFICE</v>
          </cell>
          <cell r="D28" t="str">
            <v>OPERATING</v>
          </cell>
          <cell r="E28">
            <v>1</v>
          </cell>
          <cell r="F28">
            <v>200</v>
          </cell>
          <cell r="G28">
            <v>1</v>
          </cell>
          <cell r="H28">
            <v>600</v>
          </cell>
          <cell r="I28">
            <v>1</v>
          </cell>
          <cell r="J28">
            <v>1500</v>
          </cell>
          <cell r="K28"/>
          <cell r="L28"/>
        </row>
        <row r="29">
          <cell r="A29">
            <v>7310710</v>
          </cell>
          <cell r="B29" t="str">
            <v>אדיטור בע"מ</v>
          </cell>
          <cell r="C29" t="str">
            <v>OFFICE</v>
          </cell>
          <cell r="D29" t="str">
            <v>OPERATING</v>
          </cell>
          <cell r="E29">
            <v>1</v>
          </cell>
          <cell r="F29">
            <v>200</v>
          </cell>
          <cell r="G29"/>
          <cell r="H29"/>
          <cell r="I29"/>
          <cell r="J29"/>
          <cell r="K29"/>
          <cell r="L29"/>
        </row>
        <row r="30">
          <cell r="A30">
            <v>7316432</v>
          </cell>
          <cell r="B30" t="str">
            <v>רמות אופק בע"מ</v>
          </cell>
          <cell r="C30" t="str">
            <v>OFFICE</v>
          </cell>
          <cell r="D30" t="str">
            <v>OPERATING</v>
          </cell>
          <cell r="E30">
            <v>3</v>
          </cell>
          <cell r="F30"/>
          <cell r="G30">
            <v>3</v>
          </cell>
          <cell r="H30">
            <v>600</v>
          </cell>
          <cell r="I30"/>
          <cell r="J30"/>
          <cell r="K30"/>
          <cell r="L30"/>
        </row>
        <row r="31">
          <cell r="A31">
            <v>7332806</v>
          </cell>
          <cell r="B31" t="str">
            <v>outbrain</v>
          </cell>
          <cell r="C31" t="str">
            <v>OFFICE</v>
          </cell>
          <cell r="D31" t="str">
            <v>OPERATING</v>
          </cell>
          <cell r="E31">
            <v>1</v>
          </cell>
          <cell r="F31"/>
          <cell r="G31">
            <v>2</v>
          </cell>
          <cell r="H31">
            <v>1000</v>
          </cell>
          <cell r="I31"/>
          <cell r="J31"/>
          <cell r="K31"/>
          <cell r="L31"/>
        </row>
        <row r="32">
          <cell r="A32">
            <v>7334628</v>
          </cell>
          <cell r="B32" t="str">
            <v>סינגלס אינטליג'נס גרופ בע"מ</v>
          </cell>
          <cell r="C32" t="str">
            <v>OFFICE</v>
          </cell>
          <cell r="D32" t="str">
            <v>OPERATING</v>
          </cell>
          <cell r="E32"/>
          <cell r="F32"/>
          <cell r="G32">
            <v>1</v>
          </cell>
          <cell r="H32">
            <v>600</v>
          </cell>
          <cell r="I32"/>
          <cell r="J32"/>
          <cell r="K32"/>
          <cell r="L32"/>
        </row>
        <row r="33">
          <cell r="A33">
            <v>7340871</v>
          </cell>
          <cell r="B33" t="str">
            <v>קלרנה בע"מ</v>
          </cell>
          <cell r="C33" t="str">
            <v>OFFICE</v>
          </cell>
          <cell r="D33" t="str">
            <v>OPERATING</v>
          </cell>
          <cell r="E33">
            <v>1</v>
          </cell>
          <cell r="F33">
            <v>500</v>
          </cell>
          <cell r="G33"/>
          <cell r="H33"/>
          <cell r="I33"/>
          <cell r="J33"/>
          <cell r="K33"/>
          <cell r="L33"/>
        </row>
        <row r="34">
          <cell r="A34">
            <v>7347015</v>
          </cell>
          <cell r="B34" t="str">
            <v>איירון סורס מוביל בע"מ</v>
          </cell>
          <cell r="C34" t="str">
            <v>OFFICE</v>
          </cell>
          <cell r="D34" t="str">
            <v>OPERATING</v>
          </cell>
          <cell r="E34"/>
          <cell r="F34"/>
          <cell r="G34">
            <v>3</v>
          </cell>
          <cell r="H34">
            <v>700</v>
          </cell>
          <cell r="I34"/>
          <cell r="J34"/>
          <cell r="K34"/>
          <cell r="L34"/>
        </row>
        <row r="35">
          <cell r="A35">
            <v>7348973</v>
          </cell>
          <cell r="B35" t="str">
            <v>Gigaspaces</v>
          </cell>
          <cell r="C35" t="str">
            <v>OFFICE</v>
          </cell>
          <cell r="D35" t="str">
            <v>OPERATING</v>
          </cell>
          <cell r="E35"/>
          <cell r="F35"/>
          <cell r="G35">
            <v>1</v>
          </cell>
          <cell r="H35">
            <v>600</v>
          </cell>
          <cell r="I35"/>
          <cell r="J35"/>
          <cell r="K35"/>
          <cell r="L35"/>
        </row>
        <row r="36">
          <cell r="A36">
            <v>7338616</v>
          </cell>
          <cell r="B36" t="str">
            <v>אלייד נדל"ן</v>
          </cell>
          <cell r="C36" t="str">
            <v>OFFICE</v>
          </cell>
          <cell r="D36" t="str">
            <v>OPERATING</v>
          </cell>
          <cell r="E36"/>
          <cell r="F36"/>
          <cell r="G36">
            <v>2</v>
          </cell>
          <cell r="H36">
            <v>600</v>
          </cell>
          <cell r="I36"/>
          <cell r="J36"/>
          <cell r="K36"/>
          <cell r="L36"/>
        </row>
        <row r="37">
          <cell r="A37">
            <v>7352571</v>
          </cell>
          <cell r="B37" t="str">
            <v>בי.סי אסטרטגיה בע"מ</v>
          </cell>
          <cell r="C37" t="str">
            <v>OFFICE</v>
          </cell>
          <cell r="D37" t="str">
            <v>OPERATING</v>
          </cell>
          <cell r="E37"/>
          <cell r="F37"/>
          <cell r="G37">
            <v>1</v>
          </cell>
          <cell r="H37">
            <v>600</v>
          </cell>
          <cell r="I37"/>
          <cell r="J37"/>
          <cell r="K37"/>
          <cell r="L37"/>
        </row>
        <row r="38">
          <cell r="A38">
            <v>7355032</v>
          </cell>
          <cell r="B38" t="str">
            <v>רמות אופק בע"מ -יאהו</v>
          </cell>
          <cell r="C38" t="str">
            <v>OFFICE</v>
          </cell>
          <cell r="D38" t="str">
            <v>OPERATING</v>
          </cell>
          <cell r="E38"/>
          <cell r="F38"/>
          <cell r="G38">
            <v>1</v>
          </cell>
          <cell r="H38">
            <v>500</v>
          </cell>
          <cell r="I38"/>
          <cell r="J38"/>
          <cell r="K38"/>
          <cell r="L38"/>
        </row>
        <row r="39">
          <cell r="A39">
            <v>7344605</v>
          </cell>
          <cell r="B39" t="str">
            <v>איסתרא מחקר בע"מ</v>
          </cell>
          <cell r="C39" t="str">
            <v>OFFICE</v>
          </cell>
          <cell r="D39" t="str">
            <v>OPERATING</v>
          </cell>
          <cell r="E39"/>
          <cell r="F39"/>
          <cell r="G39">
            <v>1</v>
          </cell>
          <cell r="H39">
            <v>600</v>
          </cell>
          <cell r="I39"/>
          <cell r="J39"/>
          <cell r="K39"/>
          <cell r="L39"/>
        </row>
        <row r="40">
          <cell r="A40">
            <v>7343848</v>
          </cell>
          <cell r="B40" t="str">
            <v>רדקום בע"מ</v>
          </cell>
          <cell r="C40" t="str">
            <v>OFFICE</v>
          </cell>
          <cell r="D40" t="str">
            <v>OPERATING</v>
          </cell>
          <cell r="E40">
            <v>1</v>
          </cell>
          <cell r="F40"/>
          <cell r="G40">
            <v>1</v>
          </cell>
          <cell r="H40">
            <v>1750</v>
          </cell>
          <cell r="I40"/>
          <cell r="J40"/>
          <cell r="K40"/>
          <cell r="L40"/>
        </row>
        <row r="41">
          <cell r="A41">
            <v>7344932</v>
          </cell>
          <cell r="B41" t="str">
            <v>Avnet  רכיבים ישראל בע"מ</v>
          </cell>
          <cell r="C41" t="str">
            <v>OFFICE</v>
          </cell>
          <cell r="D41" t="str">
            <v>OPERATING</v>
          </cell>
          <cell r="E41"/>
          <cell r="F41"/>
          <cell r="G41">
            <v>1</v>
          </cell>
          <cell r="H41">
            <v>600</v>
          </cell>
          <cell r="I41"/>
          <cell r="J41"/>
          <cell r="K41"/>
          <cell r="L41"/>
        </row>
        <row r="42">
          <cell r="A42">
            <v>7349752</v>
          </cell>
          <cell r="B42" t="str">
            <v>מוראל רהיטים בע"מ</v>
          </cell>
          <cell r="C42" t="str">
            <v>OFFICE</v>
          </cell>
          <cell r="D42" t="str">
            <v>OPERATING</v>
          </cell>
          <cell r="E42">
            <v>1</v>
          </cell>
          <cell r="F42">
            <v>300</v>
          </cell>
          <cell r="G42"/>
          <cell r="H42"/>
          <cell r="I42"/>
          <cell r="J42"/>
          <cell r="K42"/>
          <cell r="L42"/>
        </row>
        <row r="43">
          <cell r="A43">
            <v>7348950</v>
          </cell>
          <cell r="B43" t="str">
            <v>וייט גרופ איטליה ישראל בע"מ</v>
          </cell>
          <cell r="C43" t="str">
            <v>HORECA</v>
          </cell>
          <cell r="D43" t="str">
            <v>OPERATING</v>
          </cell>
          <cell r="E43"/>
          <cell r="F43"/>
          <cell r="G43">
            <v>1</v>
          </cell>
          <cell r="H43">
            <v>600</v>
          </cell>
          <cell r="I43"/>
          <cell r="J43"/>
          <cell r="K43"/>
          <cell r="L43"/>
        </row>
        <row r="44">
          <cell r="A44">
            <v>7348114</v>
          </cell>
          <cell r="B44" t="str">
            <v>אלמא מוסיקארט בע"מ</v>
          </cell>
          <cell r="C44" t="str">
            <v>HORECA</v>
          </cell>
          <cell r="D44" t="str">
            <v>OPERATING</v>
          </cell>
          <cell r="E44"/>
          <cell r="F44"/>
          <cell r="G44">
            <v>3</v>
          </cell>
          <cell r="H44">
            <v>1200</v>
          </cell>
          <cell r="I44">
            <v>2</v>
          </cell>
          <cell r="J44">
            <v>4200</v>
          </cell>
          <cell r="K44"/>
          <cell r="L44"/>
        </row>
        <row r="45">
          <cell r="A45">
            <v>7324097</v>
          </cell>
          <cell r="B45" t="str">
            <v>כרם ניהול בתי מלון בע"מ</v>
          </cell>
          <cell r="C45" t="str">
            <v>HORECA</v>
          </cell>
          <cell r="D45" t="str">
            <v>OPERATING</v>
          </cell>
          <cell r="E45"/>
          <cell r="F45"/>
          <cell r="G45"/>
          <cell r="H45"/>
          <cell r="I45">
            <v>1</v>
          </cell>
          <cell r="J45">
            <v>1500</v>
          </cell>
          <cell r="K45"/>
          <cell r="L45"/>
        </row>
        <row r="46">
          <cell r="A46">
            <v>7362450</v>
          </cell>
          <cell r="B46" t="str">
            <v>כלל תעשיות בע"מ</v>
          </cell>
          <cell r="C46" t="str">
            <v>OFFICE</v>
          </cell>
          <cell r="D46" t="str">
            <v>OPERATING</v>
          </cell>
          <cell r="E46"/>
          <cell r="F46"/>
          <cell r="G46">
            <v>1</v>
          </cell>
          <cell r="H46">
            <v>600</v>
          </cell>
          <cell r="I46"/>
          <cell r="J46"/>
          <cell r="K46"/>
          <cell r="L46"/>
        </row>
        <row r="47">
          <cell r="A47">
            <v>7360782</v>
          </cell>
          <cell r="B47" t="str">
            <v>אמובי בע"מ</v>
          </cell>
          <cell r="C47" t="str">
            <v>OFFICE</v>
          </cell>
          <cell r="D47" t="str">
            <v>OPERATING</v>
          </cell>
          <cell r="E47"/>
          <cell r="F47"/>
          <cell r="G47">
            <v>1</v>
          </cell>
          <cell r="H47">
            <v>600</v>
          </cell>
          <cell r="I47"/>
          <cell r="J47"/>
          <cell r="K47"/>
          <cell r="L47"/>
        </row>
        <row r="48">
          <cell r="A48">
            <v>7369180</v>
          </cell>
          <cell r="B48" t="str">
            <v>ווינדוורד בע"מ</v>
          </cell>
          <cell r="C48" t="str">
            <v>OFFICE</v>
          </cell>
          <cell r="D48" t="str">
            <v>OPERATING</v>
          </cell>
          <cell r="E48">
            <v>2</v>
          </cell>
          <cell r="F48">
            <v>200</v>
          </cell>
          <cell r="G48">
            <v>1</v>
          </cell>
          <cell r="H48">
            <v>600</v>
          </cell>
          <cell r="I48"/>
          <cell r="J48"/>
          <cell r="K48"/>
          <cell r="L48"/>
        </row>
        <row r="49">
          <cell r="A49">
            <v>7370038</v>
          </cell>
          <cell r="B49" t="str">
            <v>איי סקיי אחזקות בע"מ</v>
          </cell>
          <cell r="C49" t="str">
            <v>OFFICE</v>
          </cell>
          <cell r="D49" t="str">
            <v>OPERATING</v>
          </cell>
          <cell r="E49"/>
          <cell r="F49"/>
          <cell r="G49">
            <v>1</v>
          </cell>
          <cell r="H49">
            <v>600</v>
          </cell>
          <cell r="I49"/>
          <cell r="J49"/>
          <cell r="K49"/>
          <cell r="L49"/>
        </row>
        <row r="50">
          <cell r="A50">
            <v>7369183</v>
          </cell>
          <cell r="B50" t="str">
            <v>קינגדום פופאי ישראל בע"מ</v>
          </cell>
          <cell r="C50" t="str">
            <v>HORECA</v>
          </cell>
          <cell r="D50" t="str">
            <v>OPERATING</v>
          </cell>
          <cell r="E50"/>
          <cell r="F50"/>
          <cell r="G50">
            <v>1</v>
          </cell>
          <cell r="H50">
            <v>600</v>
          </cell>
          <cell r="I50"/>
          <cell r="J50"/>
          <cell r="K50"/>
          <cell r="L50"/>
        </row>
        <row r="51">
          <cell r="A51">
            <v>7369185</v>
          </cell>
          <cell r="B51" t="str">
            <v>ששת בר מסעדה בע"מ</v>
          </cell>
          <cell r="C51" t="str">
            <v>HORECA</v>
          </cell>
          <cell r="D51" t="str">
            <v>OPERATING</v>
          </cell>
          <cell r="E51"/>
          <cell r="F51"/>
          <cell r="G51">
            <v>1</v>
          </cell>
          <cell r="H51">
            <v>600</v>
          </cell>
          <cell r="I51"/>
          <cell r="J51"/>
          <cell r="K51"/>
          <cell r="L51"/>
        </row>
        <row r="52">
          <cell r="A52">
            <v>7370039</v>
          </cell>
          <cell r="B52" t="str">
            <v>אפליקסטר בע"מ, תל אביב - יפו</v>
          </cell>
          <cell r="C52" t="str">
            <v>OFFICE</v>
          </cell>
          <cell r="D52" t="str">
            <v>OPERATING</v>
          </cell>
          <cell r="E52"/>
          <cell r="F52"/>
          <cell r="G52">
            <v>1</v>
          </cell>
          <cell r="H52">
            <v>600</v>
          </cell>
          <cell r="I52"/>
          <cell r="J52"/>
          <cell r="K52"/>
          <cell r="L52"/>
        </row>
        <row r="53">
          <cell r="A53">
            <v>7370545</v>
          </cell>
          <cell r="B53" t="str">
            <v>מסעדת כתית (2006) בע"מ, תל אביב - יפו</v>
          </cell>
          <cell r="C53" t="str">
            <v>HORECA</v>
          </cell>
          <cell r="D53" t="str">
            <v>OPERATING</v>
          </cell>
          <cell r="E53"/>
          <cell r="F53"/>
          <cell r="G53"/>
          <cell r="H53"/>
          <cell r="I53">
            <v>1</v>
          </cell>
          <cell r="J53">
            <v>0</v>
          </cell>
          <cell r="K53"/>
          <cell r="L53"/>
        </row>
        <row r="54">
          <cell r="A54">
            <v>7370550</v>
          </cell>
          <cell r="B54" t="str">
            <v>קוד ווליו בע"מ, הרצליה</v>
          </cell>
          <cell r="C54" t="str">
            <v>OFFICE</v>
          </cell>
          <cell r="D54" t="str">
            <v>OPERATING</v>
          </cell>
          <cell r="E54">
            <v>1</v>
          </cell>
          <cell r="F54">
            <v>200</v>
          </cell>
          <cell r="G54">
            <v>1</v>
          </cell>
          <cell r="H54">
            <v>600</v>
          </cell>
          <cell r="I54"/>
          <cell r="J54"/>
          <cell r="K54"/>
          <cell r="L54"/>
        </row>
        <row r="55">
          <cell r="A55">
            <v>7370563</v>
          </cell>
          <cell r="B55" t="str">
            <v>אדלר חומסקי תקשורת שיווקית בע"מ, תל אביב - יפו</v>
          </cell>
          <cell r="C55" t="str">
            <v>OFFICE</v>
          </cell>
          <cell r="D55" t="str">
            <v>OPERATING</v>
          </cell>
          <cell r="E55"/>
          <cell r="F55"/>
          <cell r="G55">
            <v>1</v>
          </cell>
          <cell r="H55">
            <v>600</v>
          </cell>
          <cell r="I55"/>
          <cell r="J55"/>
          <cell r="K55"/>
          <cell r="L55"/>
        </row>
        <row r="56">
          <cell r="A56">
            <v>7372440</v>
          </cell>
          <cell r="B56" t="str">
            <v>אקסנצ'ר בע"מ, הרצליה</v>
          </cell>
          <cell r="C56" t="str">
            <v>OFFICE</v>
          </cell>
          <cell r="D56" t="str">
            <v>OPERATING</v>
          </cell>
          <cell r="E56"/>
          <cell r="F56"/>
          <cell r="G56">
            <v>1</v>
          </cell>
          <cell r="H56">
            <v>600</v>
          </cell>
          <cell r="I56"/>
          <cell r="J56"/>
          <cell r="K56"/>
          <cell r="L56"/>
        </row>
        <row r="57">
          <cell r="A57">
            <v>7373456</v>
          </cell>
          <cell r="B57" t="str">
            <v>רק בשר, תל אביב - יפו</v>
          </cell>
          <cell r="C57" t="str">
            <v>HORECA</v>
          </cell>
          <cell r="D57" t="str">
            <v>OPERATING</v>
          </cell>
          <cell r="E57"/>
          <cell r="F57"/>
          <cell r="G57"/>
          <cell r="H57"/>
          <cell r="I57">
            <v>1</v>
          </cell>
          <cell r="J57">
            <v>1000</v>
          </cell>
          <cell r="K57"/>
          <cell r="L57"/>
        </row>
        <row r="58">
          <cell r="A58">
            <v>7373461</v>
          </cell>
          <cell r="B58" t="str">
            <v>ברנרד רמת החייל, תל אביב - יפו</v>
          </cell>
          <cell r="C58" t="str">
            <v>HORECA</v>
          </cell>
          <cell r="D58" t="str">
            <v>OPERATING</v>
          </cell>
          <cell r="E58"/>
          <cell r="F58"/>
          <cell r="G58"/>
          <cell r="H58"/>
          <cell r="I58">
            <v>1</v>
          </cell>
          <cell r="J58">
            <v>1000</v>
          </cell>
          <cell r="K58"/>
          <cell r="L58"/>
        </row>
        <row r="59">
          <cell r="A59">
            <v>7373484</v>
          </cell>
          <cell r="B59" t="str">
            <v>רק בשר חיפה 2010, חיפה</v>
          </cell>
          <cell r="C59" t="str">
            <v>HORECA</v>
          </cell>
          <cell r="D59" t="str">
            <v>OPERATING</v>
          </cell>
          <cell r="E59"/>
          <cell r="F59"/>
          <cell r="G59">
            <v>1</v>
          </cell>
          <cell r="H59">
            <v>600</v>
          </cell>
          <cell r="I59"/>
          <cell r="J59"/>
          <cell r="K59"/>
          <cell r="L59"/>
        </row>
        <row r="60">
          <cell r="A60">
            <v>7373485</v>
          </cell>
          <cell r="B60" t="str">
            <v>רק בשר ראשון לציון, ראשון לציון</v>
          </cell>
          <cell r="C60" t="str">
            <v>HORECA</v>
          </cell>
          <cell r="D60" t="str">
            <v>OPERATING</v>
          </cell>
          <cell r="E60"/>
          <cell r="F60"/>
          <cell r="G60">
            <v>1</v>
          </cell>
          <cell r="H60">
            <v>600</v>
          </cell>
          <cell r="I60"/>
          <cell r="J60"/>
          <cell r="K60"/>
          <cell r="L60"/>
        </row>
        <row r="61">
          <cell r="A61">
            <v>7373575</v>
          </cell>
          <cell r="B61" t="str">
            <v>פרל אוטו ובניו בע"מ, חיפה</v>
          </cell>
          <cell r="C61" t="str">
            <v>OFFICE</v>
          </cell>
          <cell r="D61" t="str">
            <v>OPERATING</v>
          </cell>
          <cell r="E61"/>
          <cell r="F61"/>
          <cell r="G61">
            <v>1</v>
          </cell>
          <cell r="H61">
            <v>600</v>
          </cell>
          <cell r="I61"/>
          <cell r="J61"/>
          <cell r="K61"/>
          <cell r="L61"/>
        </row>
        <row r="62">
          <cell r="A62">
            <v>7277202</v>
          </cell>
          <cell r="B62" t="str">
            <v>פלוס 500 בע"מ</v>
          </cell>
          <cell r="C62" t="str">
            <v>OFFICE</v>
          </cell>
          <cell r="D62" t="str">
            <v>OPERATING</v>
          </cell>
          <cell r="E62"/>
          <cell r="F62"/>
          <cell r="G62">
            <v>1</v>
          </cell>
          <cell r="H62">
            <v>600</v>
          </cell>
          <cell r="I62"/>
          <cell r="J62"/>
          <cell r="K62"/>
          <cell r="L62"/>
        </row>
        <row r="63">
          <cell r="A63">
            <v>7308858</v>
          </cell>
          <cell r="B63" t="str">
            <v>ביו-גיימינג בע"מ</v>
          </cell>
          <cell r="C63" t="str">
            <v>OFFICE</v>
          </cell>
          <cell r="D63" t="str">
            <v>OPERATING</v>
          </cell>
          <cell r="E63">
            <v>1</v>
          </cell>
          <cell r="F63">
            <v>200</v>
          </cell>
          <cell r="G63"/>
          <cell r="H63"/>
          <cell r="I63"/>
          <cell r="J63"/>
          <cell r="K63"/>
          <cell r="L63"/>
        </row>
        <row r="64">
          <cell r="A64"/>
          <cell r="E64"/>
          <cell r="F64"/>
          <cell r="G64"/>
          <cell r="H64"/>
          <cell r="I64"/>
          <cell r="J64"/>
          <cell r="K64"/>
          <cell r="L64"/>
        </row>
        <row r="65">
          <cell r="A65"/>
          <cell r="E65"/>
          <cell r="F65"/>
          <cell r="G65"/>
          <cell r="H65"/>
          <cell r="I65"/>
          <cell r="J65"/>
          <cell r="K65"/>
          <cell r="L65"/>
        </row>
        <row r="66">
          <cell r="A66"/>
          <cell r="B66"/>
          <cell r="E66"/>
          <cell r="F66"/>
          <cell r="G66"/>
          <cell r="H66"/>
          <cell r="I66"/>
          <cell r="J66"/>
          <cell r="K66"/>
          <cell r="L6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ransfer Prices excl coffee"/>
      <sheetName val="PMP 2011-12-12"/>
      <sheetName val="PMP 2012-09-06"/>
      <sheetName val="FC v2012-09-06 Input (reworked)"/>
      <sheetName val="Transfer Prices excld. coffee"/>
      <sheetName val="TP 2013 exclud. coffee"/>
      <sheetName val="TP 2014 exclud. coffee"/>
      <sheetName val="PMP 2013-03-12"/>
      <sheetName val="FC v2013-03-12 (reworked)"/>
      <sheetName val="FX Rate CPE1 2014"/>
      <sheetName val="Nessoft inport Nespresso"/>
      <sheetName val="Nessoft inport B2B Nespro"/>
      <sheetName val="Agent TP"/>
      <sheetName val="Nessoft inport Nespresso Mass"/>
      <sheetName val="Setup"/>
      <sheetName val="Nessoft inport B2B Nespro Mass"/>
      <sheetName val="Contract 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A11" t="str">
            <v>AED</v>
          </cell>
        </row>
      </sheetData>
      <sheetData sheetId="11"/>
      <sheetData sheetId="12"/>
      <sheetData sheetId="13"/>
      <sheetData sheetId="14"/>
      <sheetData sheetId="15">
        <row r="2">
          <cell r="B2" t="str">
            <v>NesPro</v>
          </cell>
          <cell r="C2" t="str">
            <v>After Sales Parts</v>
          </cell>
        </row>
        <row r="3">
          <cell r="B3" t="str">
            <v>Nespresso</v>
          </cell>
          <cell r="C3" t="str">
            <v>Food &amp; Bites</v>
          </cell>
        </row>
        <row r="4">
          <cell r="C4" t="str">
            <v>Les Collections</v>
          </cell>
        </row>
        <row r="5">
          <cell r="C5" t="str">
            <v>Machines</v>
          </cell>
        </row>
        <row r="6">
          <cell r="C6" t="str">
            <v>Milk Devices</v>
          </cell>
        </row>
        <row r="7">
          <cell r="C7" t="str">
            <v>Packaging Materials</v>
          </cell>
        </row>
        <row r="8">
          <cell r="C8" t="str">
            <v>Printed Materials</v>
          </cell>
        </row>
        <row r="9">
          <cell r="C9" t="str">
            <v>Spare Parts</v>
          </cell>
        </row>
        <row r="10">
          <cell r="C10" t="str">
            <v>Trade Materials and Boutiques</v>
          </cell>
        </row>
        <row r="11">
          <cell r="C11" t="str">
            <v>Promotional Activities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7110-5FB5-4D45-91CE-7CEBF6A89CE4}">
  <dimension ref="A1:U53"/>
  <sheetViews>
    <sheetView tabSelected="1" workbookViewId="0">
      <selection activeCell="M14" sqref="M14"/>
    </sheetView>
  </sheetViews>
  <sheetFormatPr defaultColWidth="8.25" defaultRowHeight="14.25" x14ac:dyDescent="0.2"/>
  <cols>
    <col min="1" max="1" width="21.5" customWidth="1"/>
    <col min="2" max="2" width="9.125" customWidth="1"/>
    <col min="3" max="3" width="15.25" customWidth="1"/>
    <col min="4" max="4" width="13.125" customWidth="1"/>
    <col min="5" max="5" width="10.75" customWidth="1"/>
    <col min="10" max="10" width="10.25" customWidth="1"/>
    <col min="11" max="11" width="14.25" customWidth="1"/>
  </cols>
  <sheetData>
    <row r="1" spans="1:21" x14ac:dyDescent="0.2">
      <c r="C1" s="1" t="s">
        <v>33</v>
      </c>
    </row>
    <row r="2" spans="1:21" x14ac:dyDescent="0.2">
      <c r="C2" s="2">
        <f>E36</f>
        <v>14868</v>
      </c>
      <c r="H2" t="s">
        <v>0</v>
      </c>
      <c r="I2" s="1" t="s">
        <v>1</v>
      </c>
      <c r="J2">
        <v>7956201</v>
      </c>
    </row>
    <row r="5" spans="1:21" x14ac:dyDescent="0.2">
      <c r="A5" s="3"/>
      <c r="B5" s="3"/>
      <c r="C5" t="s">
        <v>2</v>
      </c>
      <c r="D5" t="s">
        <v>3</v>
      </c>
      <c r="E5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" x14ac:dyDescent="0.25">
      <c r="A6" s="4"/>
      <c r="B6" s="4"/>
      <c r="C6" s="5" t="s">
        <v>5</v>
      </c>
      <c r="D6" s="5" t="s">
        <v>6</v>
      </c>
      <c r="E6" s="5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1" x14ac:dyDescent="0.2">
      <c r="A7" s="4" t="s">
        <v>8</v>
      </c>
      <c r="B7" s="4">
        <v>7854133</v>
      </c>
      <c r="C7" s="6">
        <v>4900</v>
      </c>
      <c r="D7" s="7">
        <v>11621.82</v>
      </c>
      <c r="E7" s="6">
        <v>9849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1" x14ac:dyDescent="0.2">
      <c r="A8" s="4" t="s">
        <v>9</v>
      </c>
      <c r="B8" s="4">
        <v>7926686</v>
      </c>
      <c r="C8" s="6">
        <v>6550</v>
      </c>
      <c r="D8" s="7">
        <v>15535.289999999999</v>
      </c>
      <c r="E8" s="6">
        <v>13165.5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1" x14ac:dyDescent="0.2">
      <c r="A9" s="4" t="s">
        <v>10</v>
      </c>
      <c r="B9" s="4">
        <v>7952968</v>
      </c>
      <c r="C9" s="6">
        <v>7200</v>
      </c>
      <c r="D9" s="7">
        <v>17147.759999999998</v>
      </c>
      <c r="E9" s="6">
        <v>14532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1" x14ac:dyDescent="0.2">
      <c r="A10" s="4" t="s">
        <v>11</v>
      </c>
      <c r="B10" s="4">
        <v>7956201</v>
      </c>
      <c r="C10" s="6">
        <v>0</v>
      </c>
      <c r="D10" s="7">
        <v>0</v>
      </c>
      <c r="E10" s="6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1" x14ac:dyDescent="0.2">
      <c r="A11" s="4" t="s">
        <v>12</v>
      </c>
      <c r="B11" s="4">
        <v>7982689</v>
      </c>
      <c r="C11" s="6">
        <v>6450</v>
      </c>
      <c r="D11" s="7">
        <v>15298.109999999999</v>
      </c>
      <c r="E11" s="6">
        <v>12964.5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1" x14ac:dyDescent="0.2">
      <c r="A12" s="4" t="s">
        <v>13</v>
      </c>
      <c r="B12" s="4">
        <v>7984424</v>
      </c>
      <c r="C12" s="6">
        <v>3150</v>
      </c>
      <c r="D12" s="7">
        <v>7471.1699999999992</v>
      </c>
      <c r="E12" s="6">
        <v>6331.5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1" x14ac:dyDescent="0.2">
      <c r="A13" s="3" t="s">
        <v>14</v>
      </c>
      <c r="B13" s="4">
        <v>8115163</v>
      </c>
      <c r="C13" s="6">
        <v>4550</v>
      </c>
      <c r="D13" s="7">
        <v>10791.689999999999</v>
      </c>
      <c r="E13" s="6">
        <v>9145.5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1" x14ac:dyDescent="0.2">
      <c r="A14" s="3" t="s">
        <v>15</v>
      </c>
      <c r="B14" s="4">
        <v>8210402</v>
      </c>
      <c r="C14" s="6">
        <v>2850</v>
      </c>
      <c r="D14" s="7">
        <v>6759.6299999999992</v>
      </c>
      <c r="E14" s="6">
        <v>5728.5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1" x14ac:dyDescent="0.2">
      <c r="A15" s="3" t="s">
        <v>16</v>
      </c>
      <c r="B15" s="4">
        <v>8231048</v>
      </c>
      <c r="C15" s="6">
        <v>2750</v>
      </c>
      <c r="D15" s="7">
        <v>6522.45</v>
      </c>
      <c r="E15" s="6">
        <v>5527.5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1" x14ac:dyDescent="0.2">
      <c r="A16" s="3" t="s">
        <v>11</v>
      </c>
      <c r="B16" s="4">
        <v>8344134</v>
      </c>
      <c r="C16" s="6">
        <v>0</v>
      </c>
      <c r="D16" s="7">
        <v>0</v>
      </c>
      <c r="E16" s="6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">
      <c r="A17" s="3" t="s">
        <v>17</v>
      </c>
      <c r="B17" s="4">
        <v>8344137</v>
      </c>
      <c r="C17" s="6">
        <v>900</v>
      </c>
      <c r="D17" s="7">
        <v>2134.62</v>
      </c>
      <c r="E17" s="6">
        <v>1809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s="3" t="s">
        <v>18</v>
      </c>
      <c r="B18" s="8">
        <v>8714057</v>
      </c>
      <c r="C18" s="6">
        <v>2050</v>
      </c>
      <c r="D18" s="7">
        <v>4862.1899999999996</v>
      </c>
      <c r="E18" s="6">
        <v>4120.5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">
      <c r="A19" s="3" t="s">
        <v>19</v>
      </c>
      <c r="B19" s="4">
        <v>8906275</v>
      </c>
      <c r="C19" s="6">
        <v>1900</v>
      </c>
      <c r="D19" s="7">
        <v>4506.42</v>
      </c>
      <c r="E19" s="6">
        <v>3819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">
      <c r="A20" s="3" t="s">
        <v>20</v>
      </c>
      <c r="B20" s="4">
        <v>8909947</v>
      </c>
      <c r="C20" s="6">
        <v>0</v>
      </c>
      <c r="D20" s="7">
        <v>0</v>
      </c>
      <c r="E20" s="6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">
      <c r="A21" s="3" t="s">
        <v>21</v>
      </c>
      <c r="B21" s="4">
        <v>8926121</v>
      </c>
      <c r="C21" s="6">
        <v>7900</v>
      </c>
      <c r="D21" s="7">
        <v>18737.219999999998</v>
      </c>
      <c r="E21" s="6">
        <v>15879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">
      <c r="A22" s="3" t="s">
        <v>22</v>
      </c>
      <c r="B22" s="4">
        <v>8926851</v>
      </c>
      <c r="C22" s="6">
        <v>3850</v>
      </c>
      <c r="D22" s="7">
        <v>9131.43</v>
      </c>
      <c r="E22" s="6">
        <v>7738.5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">
      <c r="A23" s="3" t="s">
        <v>23</v>
      </c>
      <c r="B23" s="4">
        <v>8926856</v>
      </c>
      <c r="C23" s="6">
        <v>2050</v>
      </c>
      <c r="D23" s="7">
        <v>4862.1899999999996</v>
      </c>
      <c r="E23" s="6">
        <v>4120.5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">
      <c r="A24" s="3" t="s">
        <v>24</v>
      </c>
      <c r="B24" s="4">
        <v>8929255</v>
      </c>
      <c r="C24" s="6">
        <v>500</v>
      </c>
      <c r="D24" s="7">
        <v>1185.8999999999999</v>
      </c>
      <c r="E24" s="6">
        <v>1005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3" t="s">
        <v>25</v>
      </c>
      <c r="B25" s="4">
        <v>8933197</v>
      </c>
      <c r="C25" s="6">
        <v>5750</v>
      </c>
      <c r="D25" s="7">
        <v>13637.849999999999</v>
      </c>
      <c r="E25" s="6">
        <v>11557.5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3" t="s">
        <v>26</v>
      </c>
      <c r="B26" s="4">
        <v>8956251</v>
      </c>
      <c r="C26" s="6">
        <v>3400</v>
      </c>
      <c r="D26" s="7">
        <v>8083</v>
      </c>
      <c r="E26" s="6">
        <v>6850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3" t="s">
        <v>27</v>
      </c>
      <c r="B27" s="4">
        <v>8979735</v>
      </c>
      <c r="C27" s="6">
        <v>4100</v>
      </c>
      <c r="D27" s="7">
        <v>9724.3799999999992</v>
      </c>
      <c r="E27" s="6">
        <v>8241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3"/>
      <c r="B28" s="4"/>
      <c r="C28" s="6"/>
      <c r="D28" s="7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3"/>
      <c r="B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3"/>
      <c r="B30" s="3"/>
      <c r="C30" s="9">
        <f>SUM(C7:C28)</f>
        <v>70800</v>
      </c>
      <c r="D30" s="9">
        <f>SUM(D7:D28)</f>
        <v>168013.12</v>
      </c>
      <c r="E30" s="9">
        <f>SUM(E7:E28)</f>
        <v>142384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3"/>
      <c r="B31" s="3"/>
      <c r="C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3"/>
      <c r="B32" s="3"/>
      <c r="C32" s="3"/>
      <c r="D32" s="3"/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21" x14ac:dyDescent="0.2">
      <c r="A33" s="3"/>
      <c r="B33" s="3"/>
      <c r="C33" s="3"/>
      <c r="D33" s="3" t="s">
        <v>28</v>
      </c>
      <c r="E33" s="10">
        <f>+(SUM(C30)/3)*3</f>
        <v>70800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21" x14ac:dyDescent="0.2">
      <c r="A34" s="3" t="s">
        <v>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21" x14ac:dyDescent="0.2">
      <c r="A35" s="3"/>
      <c r="B35" s="3"/>
      <c r="C35" s="3"/>
      <c r="D35" s="3" t="s">
        <v>30</v>
      </c>
      <c r="E35" s="3">
        <v>0.21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21" x14ac:dyDescent="0.2">
      <c r="A36" s="3"/>
      <c r="B36" s="3"/>
      <c r="C36" s="3"/>
      <c r="D36" s="3" t="s">
        <v>31</v>
      </c>
      <c r="E36" s="11">
        <f>+E35*C30</f>
        <v>14868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">
      <c r="A37" s="3"/>
      <c r="B37" s="3"/>
      <c r="C37" s="3"/>
      <c r="D37" s="3" t="s">
        <v>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לה טייבל+הרשות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Litynska,Ruslana,IL-Petah Tikva</dc:creator>
  <cp:lastModifiedBy>Litynska,Ruslana,IL-Petah Tikva</cp:lastModifiedBy>
  <dcterms:created xsi:type="dcterms:W3CDTF">2026-01-28T08:35:29Z</dcterms:created>
  <dcterms:modified xsi:type="dcterms:W3CDTF">2026-01-28T08:36:31Z</dcterms:modified>
</cp:coreProperties>
</file>