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התחשבנות לקוחות הנחות מסחריות\מינה טומאי +קינג קונג\2025\"/>
    </mc:Choice>
  </mc:AlternateContent>
  <xr:revisionPtr revIDLastSave="0" documentId="8_{F3F6CF42-DA3B-46D0-A543-D340C6D63EDE}" xr6:coauthVersionLast="47" xr6:coauthVersionMax="47" xr10:uidLastSave="{00000000-0000-0000-0000-000000000000}"/>
  <bookViews>
    <workbookView xWindow="-120" yWindow="-120" windowWidth="29040" windowHeight="15840" xr2:uid="{19A1B04B-47E7-43AE-A326-96250E0BDD1F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6" i="1" l="1"/>
  <c r="H165" i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<sst xmlns="http://schemas.openxmlformats.org/spreadsheetml/2006/main" count="185" uniqueCount="55">
  <si>
    <t>200800541</t>
  </si>
  <si>
    <t>קינג קונג ביג בע"מ</t>
  </si>
  <si>
    <t>אורז לסושי קושיאיקארי גולד 20 ק"ג</t>
  </si>
  <si>
    <t>גינג'ר קפסולה 30 גרם 100 יחידות</t>
  </si>
  <si>
    <t>שומשום שחור קלוי 1 ק"ג</t>
  </si>
  <si>
    <t>דאשי נו מוטו מרוטמה יפן 1 ק"ג</t>
  </si>
  <si>
    <t>חומץ יוזן יפן 20 ליטר</t>
  </si>
  <si>
    <t>מחית תמרינד מאסרי 1 ק"ג</t>
  </si>
  <si>
    <t>אצות נורי דימונד קואסה 50 דף</t>
  </si>
  <si>
    <t>אבקת וואסבי הוט 1 ק"ג אדום</t>
  </si>
  <si>
    <t>קרם קוקוס קארה 17% 1 ליטר</t>
  </si>
  <si>
    <t>אטריות שעועית 60% פוניקס 500 גרם תאילנד</t>
  </si>
  <si>
    <t>מקלוני אורז ישרים 5מ"מ -400 גר'</t>
  </si>
  <si>
    <t>טופו 1.2 ק"ג פורטון סינגפור</t>
  </si>
  <si>
    <t>דפי אורז רשת 200 גר'</t>
  </si>
  <si>
    <t>שמן שומשום 100% צ'י סנג 2 ליטר</t>
  </si>
  <si>
    <t>רוטב הויסן 2.2 ק"ג</t>
  </si>
  <si>
    <t>פלפל חלפיניו שלם 2.8 ק"ג</t>
  </si>
  <si>
    <t>בוטנים אסיאתיים מטוגנים עגולים 2 ק"ג</t>
  </si>
  <si>
    <t>בוטנים מטוגנים ג'ומון 2 ק"ג</t>
  </si>
  <si>
    <t>רוטב סויה מנות אישיות מינה טומיי 400 יחידות</t>
  </si>
  <si>
    <t>טריאקי מנות מינה טומיי 400 יחידות</t>
  </si>
  <si>
    <t>ספייסי מנות מינה טומיי 400 יחידות</t>
  </si>
  <si>
    <t>גיוזה פרגית עבודת יד מינה טומיי 200 יח'</t>
  </si>
  <si>
    <t>גיוזה בקר עבודת יד מינה טומיי 200 יח'</t>
  </si>
  <si>
    <t>גיוזה פטריות עבודת יד מינה טומיי 200 יח'</t>
  </si>
  <si>
    <t>נאמס פרגית קינג קונג 160יח</t>
  </si>
  <si>
    <t>באן כפפה 50 גרם 100 יחידות</t>
  </si>
  <si>
    <t>נודלס ביצים רחב 220 גרם 48 יחידות</t>
  </si>
  <si>
    <t>אטריות אודון מרובע 220 גרם 48 יח'</t>
  </si>
  <si>
    <t>200800624</t>
  </si>
  <si>
    <t>אטפה בע"מ (קינג קונג רעננה)</t>
  </si>
  <si>
    <t>דפי אורז 22 ס"מ מרובע</t>
  </si>
  <si>
    <t>200800628</t>
  </si>
  <si>
    <t>קינג קונג חורב בע"מ</t>
  </si>
  <si>
    <t>מקלוני אורז ישרים 3מ"מ- 400 גר'</t>
  </si>
  <si>
    <t>200800663</t>
  </si>
  <si>
    <t>קינג כרמיאל בע"מ</t>
  </si>
  <si>
    <t>200800807</t>
  </si>
  <si>
    <t>קינג געתון בע"מ ( קינג קונג נהריה)</t>
  </si>
  <si>
    <t>נאמס טופו וירקות 120 יחידות</t>
  </si>
  <si>
    <t>נאמס ירקות וטופו בד"צ 120 יח'</t>
  </si>
  <si>
    <t>אטריות ראמן 140 גר' - 60 יחידות</t>
  </si>
  <si>
    <t>200800889</t>
  </si>
  <si>
    <t>קינג קונג חדרה בע"מ</t>
  </si>
  <si>
    <t>מס' לקוח</t>
  </si>
  <si>
    <t>שם לקוח</t>
  </si>
  <si>
    <t>מק'ט</t>
  </si>
  <si>
    <t>תאור מוצר משתנה</t>
  </si>
  <si>
    <t>סכום של כמות</t>
  </si>
  <si>
    <t>סכום של סכום (ש'ח)</t>
  </si>
  <si>
    <t xml:space="preserve">אחוז עמלת ניהול </t>
  </si>
  <si>
    <t>סה"כ ניהול לפני מע"מ</t>
  </si>
  <si>
    <t xml:space="preserve">סה"כ לפני מע"מ </t>
  </si>
  <si>
    <t xml:space="preserve">סה"כ כולל מע"מ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</si>
</sst>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9" fontId="0" fillId="0" borderId="1" xfId="2" applyFont="1" applyBorder="1"/>
    <xf numFmtId="43" fontId="0" fillId="0" borderId="1" xfId="1" applyFont="1" applyBorder="1"/>
    <xf numFmtId="0" fontId="0" fillId="3" borderId="1" xfId="0" applyFill="1" applyBorder="1"/>
    <xf numFmtId="0" fontId="0" fillId="4" borderId="0" xfId="0" applyFill="1"/>
    <xf numFmtId="43" fontId="0" fillId="4" borderId="0" xfId="0" applyNumberFormat="1" applyFill="1"/>
    <xf numFmtId="0" fontId="0" fillId="5" borderId="0" xfId="0" applyFill="1"/>
    <xf numFmtId="43" fontId="0" fillId="5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1492;&#1514;&#1495;&#1513;&#1489;&#1504;&#1493;&#1514;%20&#1500;&#1511;&#1493;&#1495;&#1493;&#1514;%20&#1492;&#1504;&#1495;&#1493;&#1514;%20&#1502;&#1505;&#1495;&#1512;&#1497;&#1493;&#1514;\&#1502;&#1497;&#1504;&#1492;%20&#1496;&#1493;&#1502;&#1488;&#1497;%20+&#1511;&#1497;&#1504;&#1490;%20&#1511;&#1493;&#1504;&#1490;\2024\&#1491;&#1493;&#1495;%20&#1506;&#1502;&#1500;&#1493;&#1514;%20&#1502;&#1497;&#1504;&#1492;%20&#1496;&#1493;&#1502;&#1488;&#1497;+&#1511;&#1497;&#1504;&#1490;%20&#1511;&#1493;&#1504;&#1490;.xlsx" TargetMode="External"/><Relationship Id="rId1" Type="http://schemas.openxmlformats.org/officeDocument/2006/relationships/externalLinkPath" Target="/Users/user/Desktop/&#1492;&#1514;&#1495;&#1513;&#1489;&#1504;&#1493;&#1514;%20&#1500;&#1511;&#1493;&#1495;&#1493;&#1514;%20&#1492;&#1504;&#1495;&#1493;&#1514;%20&#1502;&#1505;&#1495;&#1512;&#1497;&#1493;&#1514;/&#1502;&#1497;&#1504;&#1492;%20&#1496;&#1493;&#1502;&#1488;&#1497;%20+&#1511;&#1497;&#1504;&#1490;%20&#1511;&#1493;&#1504;&#1490;/2024/&#1491;&#1493;&#1495;%20&#1506;&#1502;&#1500;&#1493;&#1514;%20&#1502;&#1497;&#1504;&#1492;%20&#1496;&#1493;&#1502;&#1488;&#1497;+&#1511;&#1497;&#1504;&#1490;%20&#1511;&#1493;&#1504;&#14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אחוז ניהול"/>
      <sheetName val="7-9.22"/>
      <sheetName val="10-12.22 מרוכז"/>
      <sheetName val="מרוכז 01-03.23"/>
      <sheetName val="מרוכז 04-06.23"/>
      <sheetName val="מרוכז 07-09.23"/>
      <sheetName val="10-12.22"/>
      <sheetName val="מרוכז 10-12.23"/>
      <sheetName val="גיליון3"/>
      <sheetName val="מרוכז 1-3.24"/>
      <sheetName val="מרוכז 4-6.24"/>
      <sheetName val="מרוכז 7-9.24"/>
      <sheetName val="מרוכז 10-12.24"/>
      <sheetName val="מרוכז 1-3.25"/>
      <sheetName val="גיליון2"/>
      <sheetName val="גיליון1"/>
      <sheetName val="מרוכז 04-06.25"/>
      <sheetName val="07-09.25 מרוכז "/>
      <sheetName val=" 10-12.25 מרוכז "/>
      <sheetName val="10-12.25"/>
      <sheetName val="גיליון6"/>
      <sheetName val="גיליון5"/>
      <sheetName val="חודש 04-06.23"/>
      <sheetName val="חודש 04-06.23 - מקור"/>
      <sheetName val="מרכז 01-03.23"/>
    </sheetNames>
    <sheetDataSet>
      <sheetData sheetId="0">
        <row r="1">
          <cell r="F1" t="str">
            <v xml:space="preserve">חדש </v>
          </cell>
        </row>
        <row r="2">
          <cell r="F2" t="str">
            <v>מק'ט</v>
          </cell>
          <cell r="G2" t="str">
            <v>תאור מוצר משתנה</v>
          </cell>
          <cell r="H2" t="str">
            <v xml:space="preserve">אחוז עמלה </v>
          </cell>
        </row>
        <row r="3">
          <cell r="F3">
            <v>6001301</v>
          </cell>
          <cell r="G3" t="str">
            <v>גיוזה עגולה בקר 100 יחידות</v>
          </cell>
          <cell r="H3">
            <v>0.1</v>
          </cell>
        </row>
        <row r="4">
          <cell r="F4">
            <v>6001301</v>
          </cell>
          <cell r="G4" t="str">
            <v>גיוזה עגולה בקר 150 יחידות</v>
          </cell>
          <cell r="H4">
            <v>0.1</v>
          </cell>
        </row>
        <row r="5">
          <cell r="F5">
            <v>6001301</v>
          </cell>
          <cell r="G5" t="str">
            <v>גיוזה עגולה בקר 50 יחידות</v>
          </cell>
          <cell r="H5">
            <v>0.1</v>
          </cell>
        </row>
        <row r="6">
          <cell r="F6">
            <v>6017500</v>
          </cell>
          <cell r="G6" t="str">
            <v>נאמס מינה טומאי 90 יח'</v>
          </cell>
          <cell r="H6">
            <v>0.1</v>
          </cell>
        </row>
        <row r="7">
          <cell r="F7">
            <v>25021</v>
          </cell>
          <cell r="G7" t="str">
            <v>רוטב תמרינד מאסרי 1 ק"ג</v>
          </cell>
          <cell r="H7">
            <v>0.17</v>
          </cell>
        </row>
        <row r="8">
          <cell r="F8">
            <v>25045</v>
          </cell>
          <cell r="G8" t="str">
            <v>אצות נורי דימונד קואסה 50 דף</v>
          </cell>
          <cell r="H8">
            <v>0.17</v>
          </cell>
        </row>
        <row r="9">
          <cell r="F9">
            <v>25055</v>
          </cell>
          <cell r="G9" t="str">
            <v>אבקת וואסבי 1 ק"ג ירוק</v>
          </cell>
          <cell r="H9">
            <v>0.17</v>
          </cell>
        </row>
        <row r="10">
          <cell r="F10">
            <v>25056</v>
          </cell>
          <cell r="G10" t="str">
            <v>אבקת וואסבי הוט 1 ק"ג אדום</v>
          </cell>
          <cell r="H10">
            <v>0.17</v>
          </cell>
        </row>
        <row r="11">
          <cell r="F11">
            <v>25060</v>
          </cell>
          <cell r="G11" t="str">
            <v>גינג'ר קפסולה 30 גרם 100 יחידות</v>
          </cell>
          <cell r="H11">
            <v>0.17</v>
          </cell>
        </row>
        <row r="12">
          <cell r="F12">
            <v>25084</v>
          </cell>
          <cell r="G12" t="str">
            <v>אטריות שעועית 60% פוניקס 500 גרם</v>
          </cell>
          <cell r="H12">
            <v>0.17</v>
          </cell>
        </row>
        <row r="13">
          <cell r="F13">
            <v>25220</v>
          </cell>
          <cell r="G13" t="str">
            <v>טופו 1.2 ק"ג</v>
          </cell>
          <cell r="H13">
            <v>0.17</v>
          </cell>
        </row>
        <row r="14">
          <cell r="F14">
            <v>25263</v>
          </cell>
          <cell r="G14" t="str">
            <v>רוטב צ'אוצ'או 6 ק"ג</v>
          </cell>
          <cell r="H14">
            <v>0.17</v>
          </cell>
        </row>
        <row r="15">
          <cell r="F15">
            <v>26001</v>
          </cell>
          <cell r="G15" t="str">
            <v>שמן שומשום 100% צ'י סנג 2 ליטר</v>
          </cell>
          <cell r="H15">
            <v>0.17</v>
          </cell>
        </row>
        <row r="16">
          <cell r="F16">
            <v>26040</v>
          </cell>
          <cell r="G16" t="str">
            <v>חומץ יוזן יפן 20 ליטר</v>
          </cell>
          <cell r="H16">
            <v>0.17</v>
          </cell>
        </row>
        <row r="17">
          <cell r="F17">
            <v>26071</v>
          </cell>
          <cell r="G17" t="str">
            <v>אורז לסושי קושיאיקארי גולד 20 ק"ג</v>
          </cell>
          <cell r="H17">
            <v>0.17</v>
          </cell>
        </row>
        <row r="18">
          <cell r="F18">
            <v>5001302</v>
          </cell>
          <cell r="G18" t="str">
            <v>ספייסי מיונז מנות 15 גר' (400 יח)</v>
          </cell>
          <cell r="H18">
            <v>0.17</v>
          </cell>
        </row>
        <row r="19">
          <cell r="F19">
            <v>5017300</v>
          </cell>
          <cell r="G19" t="str">
            <v>רוטב סויה מנות אישיות מינה טומיי 400 יחידות</v>
          </cell>
          <cell r="H19">
            <v>0.2</v>
          </cell>
        </row>
        <row r="20">
          <cell r="F20">
            <v>5017301</v>
          </cell>
          <cell r="G20" t="str">
            <v>טריאקי מנות מינה טומיי 400 יחידות</v>
          </cell>
          <cell r="H20">
            <v>0.17</v>
          </cell>
        </row>
        <row r="21">
          <cell r="F21">
            <v>5017302</v>
          </cell>
          <cell r="G21" t="str">
            <v>ספייסי מנות מינה טומיי 400 יחידות</v>
          </cell>
          <cell r="H21">
            <v>0.17</v>
          </cell>
        </row>
        <row r="22">
          <cell r="F22">
            <v>5021103</v>
          </cell>
          <cell r="G22" t="str">
            <v>גיוזה עגולה בקר ג'ומון</v>
          </cell>
          <cell r="H22">
            <v>0.1</v>
          </cell>
        </row>
        <row r="23">
          <cell r="F23">
            <v>6001100</v>
          </cell>
          <cell r="G23" t="str">
            <v>גיוזה עוף ג'ומון 200 יחידות</v>
          </cell>
          <cell r="H23">
            <v>0.1</v>
          </cell>
        </row>
        <row r="24">
          <cell r="F24">
            <v>6001101</v>
          </cell>
          <cell r="G24" t="str">
            <v>גיוזה בקר ג'ומון 200 יחידות</v>
          </cell>
          <cell r="H24">
            <v>0.1</v>
          </cell>
        </row>
        <row r="25">
          <cell r="F25">
            <v>6001102</v>
          </cell>
          <cell r="G25" t="str">
            <v>גיוזה פטריות ג'ומון 200 יחידות</v>
          </cell>
          <cell r="H25">
            <v>0.1</v>
          </cell>
        </row>
        <row r="26">
          <cell r="F26">
            <v>6001105</v>
          </cell>
          <cell r="G26" t="str">
            <v>גיוזה בקר מפורק 200 יחידות צהוב</v>
          </cell>
          <cell r="H26">
            <v>0.1</v>
          </cell>
        </row>
        <row r="27">
          <cell r="F27">
            <v>6001108</v>
          </cell>
          <cell r="G27" t="str">
            <v>גיוזה פטריות 200 יחידות לבן</v>
          </cell>
          <cell r="H27">
            <v>0.1</v>
          </cell>
        </row>
        <row r="28">
          <cell r="F28">
            <v>6001301</v>
          </cell>
          <cell r="G28" t="str">
            <v>גיוזה עגולה בקר 200 יחידות</v>
          </cell>
          <cell r="H28">
            <v>0.1</v>
          </cell>
        </row>
        <row r="29">
          <cell r="F29">
            <v>6017401</v>
          </cell>
          <cell r="G29" t="str">
            <v>אגרול עוף 120 יחידות מינה טומיי</v>
          </cell>
          <cell r="H29">
            <v>0.1</v>
          </cell>
        </row>
        <row r="30">
          <cell r="F30">
            <v>6017500</v>
          </cell>
          <cell r="G30" t="str">
            <v>נאמס מינה טומאי 120 יח'</v>
          </cell>
          <cell r="H30">
            <v>0.1</v>
          </cell>
        </row>
        <row r="31">
          <cell r="F31">
            <v>6017501</v>
          </cell>
          <cell r="G31" t="str">
            <v>נאמס פרגית קינג קונג 160יח</v>
          </cell>
          <cell r="H31">
            <v>0.1</v>
          </cell>
        </row>
        <row r="32">
          <cell r="F32">
            <v>7001250</v>
          </cell>
          <cell r="G32" t="str">
            <v>באן כפפה 50 גרם 100 יחידות</v>
          </cell>
          <cell r="H32">
            <v>0.17</v>
          </cell>
        </row>
        <row r="33">
          <cell r="F33">
            <v>7001399</v>
          </cell>
          <cell r="G33" t="str">
            <v>באן מרובע 100 גרם</v>
          </cell>
          <cell r="H33">
            <v>0.17</v>
          </cell>
        </row>
        <row r="34">
          <cell r="F34">
            <v>6001301</v>
          </cell>
          <cell r="G34" t="str">
            <v>גיוזה עגולה בקר 50 יחידות</v>
          </cell>
          <cell r="H34">
            <v>0.1</v>
          </cell>
        </row>
        <row r="35">
          <cell r="F35">
            <v>6017501</v>
          </cell>
          <cell r="G35" t="str">
            <v>נאמס פרגית קינג קונג 80 יח</v>
          </cell>
          <cell r="H35">
            <v>0.1</v>
          </cell>
        </row>
        <row r="36">
          <cell r="F36">
            <v>25046</v>
          </cell>
          <cell r="G36" t="str">
            <v>אצות נורי ספיר קואסה 50 דף</v>
          </cell>
          <cell r="H36">
            <v>0.17</v>
          </cell>
        </row>
        <row r="37">
          <cell r="F37">
            <v>25047</v>
          </cell>
          <cell r="G37" t="str">
            <v>אצות נורי רובי קואסה 50 דף</v>
          </cell>
          <cell r="H37">
            <v>0.17</v>
          </cell>
        </row>
        <row r="38">
          <cell r="F38">
            <v>1126071</v>
          </cell>
          <cell r="G38" t="str">
            <v>אורז לסושי קושיאיקארי גולד 20 ק"ג</v>
          </cell>
          <cell r="H38">
            <v>0.17</v>
          </cell>
        </row>
        <row r="39">
          <cell r="F39">
            <v>125060</v>
          </cell>
          <cell r="G39" t="str">
            <v>גינג'ר קפסולה 30 גרם 100 יחידות</v>
          </cell>
          <cell r="H39">
            <v>0.17</v>
          </cell>
        </row>
        <row r="40">
          <cell r="F40">
            <v>125059</v>
          </cell>
          <cell r="G40" t="str">
            <v>ג'ינג'ר לבן כבוש 1 ק"ג</v>
          </cell>
          <cell r="H40">
            <v>0.17</v>
          </cell>
        </row>
        <row r="41">
          <cell r="F41">
            <v>226040</v>
          </cell>
          <cell r="G41" t="str">
            <v>חומץ יוזן יפן 20 ליטר</v>
          </cell>
          <cell r="H41">
            <v>0.17</v>
          </cell>
        </row>
        <row r="42">
          <cell r="F42">
            <v>6001401</v>
          </cell>
          <cell r="G42" t="str">
            <v>אגרול עוף ג'ומון 120 יחידות</v>
          </cell>
          <cell r="H42">
            <v>0.1</v>
          </cell>
        </row>
        <row r="43">
          <cell r="F43">
            <v>125061</v>
          </cell>
          <cell r="G43" t="str">
            <v>אושינאקו צנון כבוש</v>
          </cell>
          <cell r="H43">
            <v>0.17</v>
          </cell>
        </row>
        <row r="44">
          <cell r="F44">
            <v>80101220</v>
          </cell>
          <cell r="G44" t="str">
            <v>נודלס ביצים רחב 220 גרם 48 יחידות</v>
          </cell>
          <cell r="H44">
            <v>0.1</v>
          </cell>
        </row>
        <row r="45">
          <cell r="F45">
            <v>80102220</v>
          </cell>
          <cell r="G45" t="str">
            <v>נודלס ביצים תרד 220 גר' 48 יח'</v>
          </cell>
          <cell r="H45">
            <v>0.1</v>
          </cell>
        </row>
        <row r="46">
          <cell r="F46">
            <v>80204140</v>
          </cell>
          <cell r="G46" t="str">
            <v>נודלס ביצים תרד 220 גר' 48 יח'</v>
          </cell>
          <cell r="H46">
            <v>0.1</v>
          </cell>
        </row>
        <row r="47">
          <cell r="F47">
            <v>226018</v>
          </cell>
          <cell r="G47" t="str">
            <v>דאשי נומוטו יפן</v>
          </cell>
          <cell r="H47">
            <v>0.17</v>
          </cell>
        </row>
        <row r="48">
          <cell r="F48">
            <v>25077</v>
          </cell>
          <cell r="G48" t="str">
            <v>קרם קוקוס קארה 17% 1 ליטר</v>
          </cell>
          <cell r="H48">
            <v>0.17</v>
          </cell>
        </row>
        <row r="49">
          <cell r="F49">
            <v>25126</v>
          </cell>
          <cell r="G49" t="str">
            <v>מקלוני אורז ישרים 5מ"מ</v>
          </cell>
          <cell r="H49">
            <v>0.17</v>
          </cell>
        </row>
        <row r="50">
          <cell r="F50">
            <v>80307220</v>
          </cell>
          <cell r="G50" t="str">
            <v>אטריות אודון מרובע 220 גרם 48 יח'</v>
          </cell>
          <cell r="H50">
            <v>0.1</v>
          </cell>
        </row>
        <row r="51">
          <cell r="F51">
            <v>1125082</v>
          </cell>
          <cell r="G51" t="str">
            <v>אורז יסמין סמארט שף  25קילו</v>
          </cell>
          <cell r="H51">
            <v>0.17</v>
          </cell>
        </row>
        <row r="52">
          <cell r="F52">
            <v>226060</v>
          </cell>
          <cell r="G52" t="str">
            <v>אודון איטצוקי יפן 500 גר'</v>
          </cell>
          <cell r="H52">
            <v>0.17</v>
          </cell>
        </row>
        <row r="53">
          <cell r="F53">
            <v>5001301</v>
          </cell>
          <cell r="G53" t="str">
            <v>רוטב טריאקי מנות 15גר' (400 יח)</v>
          </cell>
          <cell r="H53">
            <v>0.17</v>
          </cell>
        </row>
        <row r="54">
          <cell r="F54">
            <v>26059</v>
          </cell>
          <cell r="G54" t="str">
            <v>פוריקקה נורי</v>
          </cell>
          <cell r="H54">
            <v>0.17</v>
          </cell>
        </row>
        <row r="55">
          <cell r="F55">
            <v>126010</v>
          </cell>
          <cell r="G55" t="str">
            <v>שומשום שחור קלוי 1 ק"ג</v>
          </cell>
          <cell r="H55">
            <v>0.17</v>
          </cell>
        </row>
        <row r="56">
          <cell r="F56">
            <v>25312</v>
          </cell>
          <cell r="G56" t="str">
            <v>אטריות ראמן מוכנות 180 גר'</v>
          </cell>
          <cell r="H56">
            <v>0.1</v>
          </cell>
        </row>
        <row r="57">
          <cell r="F57">
            <v>28009</v>
          </cell>
          <cell r="G57" t="str">
            <v>מחית קארי צהוב 1 ק"ג - תאי אגרי</v>
          </cell>
          <cell r="H57">
            <v>0.17</v>
          </cell>
        </row>
        <row r="58">
          <cell r="F58">
            <v>80303200</v>
          </cell>
          <cell r="G58" t="str">
            <v>נודלס מרובע תרד 200 גר' - 50 יח'</v>
          </cell>
          <cell r="H58">
            <v>0.1</v>
          </cell>
        </row>
        <row r="59">
          <cell r="F59">
            <v>7001150</v>
          </cell>
          <cell r="G59" t="str">
            <v>באן עגול 50 גרם 100 יחידות</v>
          </cell>
          <cell r="H59">
            <v>0.17</v>
          </cell>
        </row>
        <row r="60">
          <cell r="F60">
            <v>25232</v>
          </cell>
          <cell r="G60" t="str">
            <v>דפי אורז רשת 200 גר'</v>
          </cell>
          <cell r="H60">
            <v>0.1</v>
          </cell>
        </row>
        <row r="61">
          <cell r="F61">
            <v>6001501</v>
          </cell>
          <cell r="G61" t="str">
            <v>נאמס טופו וירקות 120 יחידות</v>
          </cell>
          <cell r="H61">
            <v>0.1</v>
          </cell>
        </row>
        <row r="62">
          <cell r="F62">
            <v>25132</v>
          </cell>
          <cell r="G62" t="str">
            <v>שבבי אורז - 227 גר'</v>
          </cell>
          <cell r="H62">
            <v>0.17</v>
          </cell>
        </row>
        <row r="63">
          <cell r="F63">
            <v>6017200</v>
          </cell>
          <cell r="G63" t="str">
            <v>גיוזה פרגית עבודת יד מינה טומיי 200 יח'</v>
          </cell>
          <cell r="H63">
            <v>0.1</v>
          </cell>
        </row>
        <row r="64">
          <cell r="F64">
            <v>6017201</v>
          </cell>
          <cell r="G64" t="str">
            <v>גיוזה בקר עבודת יד מינה טומיי 200 יח'</v>
          </cell>
          <cell r="H64">
            <v>0.1</v>
          </cell>
        </row>
        <row r="65">
          <cell r="F65">
            <v>6017202</v>
          </cell>
          <cell r="G65" t="str">
            <v>גיוזה פטריות עבודת יד מינה טומיי 200 יח'</v>
          </cell>
          <cell r="H65">
            <v>0.1</v>
          </cell>
        </row>
        <row r="66">
          <cell r="F66">
            <v>80107200</v>
          </cell>
          <cell r="G66" t="str">
            <v>אטריות אודון רחב 200 גרם 50 יחידות</v>
          </cell>
          <cell r="H66">
            <v>0.1</v>
          </cell>
        </row>
        <row r="67">
          <cell r="F67">
            <v>6001208</v>
          </cell>
          <cell r="G67" t="str">
            <v>גיוזה פרגית עבודת יד 200 יחידות</v>
          </cell>
          <cell r="H67">
            <v>0.1</v>
          </cell>
        </row>
        <row r="68">
          <cell r="F68">
            <v>25080</v>
          </cell>
          <cell r="G68" t="str">
            <v>קרם קוקוס קארה 20 ק"ג</v>
          </cell>
          <cell r="H68">
            <v>0.17</v>
          </cell>
        </row>
        <row r="69">
          <cell r="F69">
            <v>26063</v>
          </cell>
          <cell r="G69" t="str">
            <v>רוטב הויסן 2.27 ק"ג</v>
          </cell>
          <cell r="H69">
            <v>0.17</v>
          </cell>
        </row>
        <row r="70">
          <cell r="F70">
            <v>26072</v>
          </cell>
          <cell r="G70" t="str">
            <v>פטריות שיטאקה חתוכות 1 ק"ג</v>
          </cell>
          <cell r="H70">
            <v>0.17</v>
          </cell>
        </row>
        <row r="71">
          <cell r="F71">
            <v>25125</v>
          </cell>
          <cell r="G71" t="str">
            <v>מקלוני אורז ישרים 3מ"מ- 400 גר'</v>
          </cell>
          <cell r="H71">
            <v>0.17</v>
          </cell>
        </row>
        <row r="72">
          <cell r="F72">
            <v>3001003</v>
          </cell>
          <cell r="G72" t="str">
            <v>פלפל חלפיניו שלם 2.8 ק"ג</v>
          </cell>
          <cell r="H72">
            <v>0.17</v>
          </cell>
        </row>
        <row r="73">
          <cell r="F73">
            <v>225235</v>
          </cell>
          <cell r="G73" t="str">
            <v>הניגרי לקירור אורז סושי יפני 60 ס"מ</v>
          </cell>
          <cell r="H73">
            <v>0.17</v>
          </cell>
        </row>
        <row r="74">
          <cell r="F74">
            <v>227002</v>
          </cell>
          <cell r="G74" t="str">
            <v>שומר אורז 5.7 ליטר</v>
          </cell>
          <cell r="H74">
            <v>0.17</v>
          </cell>
        </row>
        <row r="75">
          <cell r="F75">
            <v>227013</v>
          </cell>
          <cell r="G75" t="str">
            <v>רשת לסיר אורז</v>
          </cell>
          <cell r="H75">
            <v>0.17</v>
          </cell>
        </row>
        <row r="76">
          <cell r="F76">
            <v>227018</v>
          </cell>
          <cell r="G76" t="str">
            <v>קופסא לשמירת אצות</v>
          </cell>
          <cell r="H76">
            <v>0.17</v>
          </cell>
        </row>
        <row r="77">
          <cell r="F77">
            <v>227025</v>
          </cell>
          <cell r="G77" t="str">
            <v>כף עץ יפנית לערבוב אורז</v>
          </cell>
          <cell r="H77">
            <v>0.17</v>
          </cell>
        </row>
        <row r="78">
          <cell r="F78">
            <v>227026</v>
          </cell>
          <cell r="G78" t="str">
            <v>מחבת טמאגו נחושת יפנית</v>
          </cell>
          <cell r="H78">
            <v>0.17</v>
          </cell>
        </row>
        <row r="79">
          <cell r="F79">
            <v>227030</v>
          </cell>
          <cell r="G79" t="str">
            <v>אבן משחזת שני צדדים</v>
          </cell>
          <cell r="H79">
            <v>0.17</v>
          </cell>
        </row>
        <row r="80">
          <cell r="F80">
            <v>325169</v>
          </cell>
          <cell r="G80" t="str">
            <v>סטימר במבוק לאידוי 20 ס"מ</v>
          </cell>
          <cell r="H80">
            <v>0.17</v>
          </cell>
        </row>
        <row r="81">
          <cell r="F81">
            <v>325172</v>
          </cell>
          <cell r="G81" t="str">
            <v>מחצלת במבוק שטוחה לסושי 24 ס"מ</v>
          </cell>
          <cell r="H81">
            <v>0.17</v>
          </cell>
        </row>
        <row r="82">
          <cell r="F82">
            <v>25127</v>
          </cell>
          <cell r="G82" t="str">
            <v>מקלוני אורז ישרים 10 מ"מ -400 גר'</v>
          </cell>
          <cell r="H82">
            <v>0.17</v>
          </cell>
        </row>
        <row r="83">
          <cell r="F83">
            <v>26062</v>
          </cell>
          <cell r="G83" t="str">
            <v>רוטב סויה ללא גלוטן 8 ליטר</v>
          </cell>
          <cell r="H83">
            <v>0.17</v>
          </cell>
        </row>
        <row r="84">
          <cell r="F84">
            <v>5099101</v>
          </cell>
          <cell r="G84" t="str">
            <v>רוטב טריאקי כשל"פ 4.9 ק"ג</v>
          </cell>
          <cell r="H84">
            <v>0.1</v>
          </cell>
        </row>
        <row r="85">
          <cell r="F85">
            <v>5099201</v>
          </cell>
          <cell r="G85" t="str">
            <v>ספייסי מיו כשל"פ 4 ל'</v>
          </cell>
          <cell r="H85">
            <v>0.1</v>
          </cell>
        </row>
        <row r="86">
          <cell r="F86">
            <v>5099301</v>
          </cell>
          <cell r="G86" t="str">
            <v>רוטב סויה מנות 400 יח' כשל"פ</v>
          </cell>
          <cell r="H86">
            <v>0.1</v>
          </cell>
        </row>
        <row r="87">
          <cell r="F87">
            <v>5099302</v>
          </cell>
          <cell r="G87" t="str">
            <v>רוטב טריאקי מנות 400 יח' כשל"פ</v>
          </cell>
          <cell r="H87">
            <v>0.1</v>
          </cell>
        </row>
        <row r="88">
          <cell r="F88">
            <v>5099303</v>
          </cell>
          <cell r="G88" t="str">
            <v>ספייסי מיו מנות 400 יח' כשל"פ</v>
          </cell>
          <cell r="H88">
            <v>0.1</v>
          </cell>
        </row>
        <row r="89">
          <cell r="F89">
            <v>3002001</v>
          </cell>
          <cell r="G89" t="str">
            <v>בוטנים אסיאתיים מטוגנים עגולים 2 ק"ג</v>
          </cell>
          <cell r="H89">
            <v>0.17</v>
          </cell>
        </row>
        <row r="90">
          <cell r="F90">
            <v>25079</v>
          </cell>
          <cell r="G90" t="str">
            <v>קרם קוקוס קארה 24% 1 ליטר</v>
          </cell>
          <cell r="H90">
            <v>0.17</v>
          </cell>
        </row>
        <row r="91">
          <cell r="F91">
            <v>226038</v>
          </cell>
          <cell r="G91" t="str">
            <v>אטריות סובה איטצוקי יפן 500 גר'</v>
          </cell>
          <cell r="H91">
            <v>0.17</v>
          </cell>
        </row>
        <row r="92">
          <cell r="F92">
            <v>3002002</v>
          </cell>
          <cell r="G92" t="str">
            <v>בוטנים מטוגנים ג'ומון 2 ק"ג</v>
          </cell>
          <cell r="H92">
            <v>0.17</v>
          </cell>
        </row>
        <row r="93">
          <cell r="F93">
            <v>25219</v>
          </cell>
          <cell r="G93" t="str">
            <v>דפי אורז 22 ס"מ מרובע</v>
          </cell>
          <cell r="H93">
            <v>0.17</v>
          </cell>
        </row>
        <row r="94">
          <cell r="F94">
            <v>6001521</v>
          </cell>
          <cell r="G94" t="str">
            <v>נאמס ירקות וטופו בד"צ 120 יח'</v>
          </cell>
          <cell r="H94">
            <v>0.1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9A45-D718-47D5-A3CF-D4507BF4A2EC}">
  <dimension ref="A1:H166"/>
  <sheetViews>
    <sheetView rightToLeft="1" tabSelected="1" workbookViewId="0">
      <pane ySplit="1" topLeftCell="A2" activePane="bottomLeft" state="frozen"/>
      <selection pane="bottomLeft" activeCell="H7" sqref="H7"/>
    </sheetView>
  </sheetViews>
  <sheetFormatPr defaultRowHeight="14.25" x14ac:dyDescent="0.2"/>
  <cols>
    <col min="1" max="1" width="9.875" bestFit="1" customWidth="1"/>
    <col min="2" max="2" width="25.625" bestFit="1" customWidth="1"/>
    <col min="3" max="3" width="8.875" bestFit="1" customWidth="1"/>
    <col min="4" max="4" width="34.125" bestFit="1" customWidth="1"/>
    <col min="5" max="5" width="11.125" bestFit="1" customWidth="1"/>
    <col min="6" max="6" width="15.625" bestFit="1" customWidth="1"/>
    <col min="7" max="7" width="13.375" bestFit="1" customWidth="1"/>
    <col min="8" max="8" width="16.375" bestFit="1" customWidth="1"/>
  </cols>
  <sheetData>
    <row r="1" spans="1:8" x14ac:dyDescent="0.2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spans="1:8" x14ac:dyDescent="0.2">
      <c r="A2" s="1" t="s">
        <v>0</v>
      </c>
      <c r="B2" s="1" t="s">
        <v>1</v>
      </c>
      <c r="C2" s="2">
        <v>1126071</v>
      </c>
      <c r="D2" s="2" t="s">
        <v>2</v>
      </c>
      <c r="E2" s="2">
        <v>99</v>
      </c>
      <c r="F2" s="2">
        <v>22275.53</v>
      </c>
      <c r="G2" s="3">
        <f>VLOOKUP(C2,'[1]אחוז ניהול'!F:H,3,0)</f>
        <v>0.17</v>
      </c>
      <c r="H2" s="4">
        <f>SUM(F2*G2)</f>
        <v>3786.8400999999999</v>
      </c>
    </row>
    <row r="3" spans="1:8" x14ac:dyDescent="0.2">
      <c r="A3" s="2"/>
      <c r="B3" s="2"/>
      <c r="C3" s="2">
        <v>125060</v>
      </c>
      <c r="D3" s="2" t="s">
        <v>3</v>
      </c>
      <c r="E3" s="2">
        <v>26</v>
      </c>
      <c r="F3" s="2">
        <v>1566.53</v>
      </c>
      <c r="G3" s="3">
        <f>VLOOKUP(C3,'[1]אחוז ניהול'!F:H,3,0)</f>
        <v>0.17</v>
      </c>
      <c r="H3" s="4">
        <f>SUM(F3*G3)</f>
        <v>266.31010000000003</v>
      </c>
    </row>
    <row r="4" spans="1:8" x14ac:dyDescent="0.2">
      <c r="A4" s="2"/>
      <c r="B4" s="2"/>
      <c r="C4" s="2">
        <v>126010</v>
      </c>
      <c r="D4" s="2" t="s">
        <v>4</v>
      </c>
      <c r="E4" s="2">
        <v>18</v>
      </c>
      <c r="F4" s="2">
        <v>756</v>
      </c>
      <c r="G4" s="3">
        <f>VLOOKUP(C4,'[1]אחוז ניהול'!F:H,3,0)</f>
        <v>0.17</v>
      </c>
      <c r="H4" s="4">
        <f>SUM(F4*G4)</f>
        <v>128.52000000000001</v>
      </c>
    </row>
    <row r="5" spans="1:8" x14ac:dyDescent="0.2">
      <c r="A5" s="2"/>
      <c r="B5" s="2"/>
      <c r="C5" s="2">
        <v>226018</v>
      </c>
      <c r="D5" s="2" t="s">
        <v>5</v>
      </c>
      <c r="E5" s="2">
        <v>1</v>
      </c>
      <c r="F5" s="2">
        <v>54.5</v>
      </c>
      <c r="G5" s="3">
        <f>VLOOKUP(C5,'[1]אחוז ניהול'!F:H,3,0)</f>
        <v>0.17</v>
      </c>
      <c r="H5" s="4">
        <f>SUM(F5*G5)</f>
        <v>9.2650000000000006</v>
      </c>
    </row>
    <row r="6" spans="1:8" x14ac:dyDescent="0.2">
      <c r="A6" s="2"/>
      <c r="B6" s="2"/>
      <c r="C6" s="2">
        <v>226040</v>
      </c>
      <c r="D6" s="2" t="s">
        <v>6</v>
      </c>
      <c r="E6" s="2">
        <v>5</v>
      </c>
      <c r="F6" s="2">
        <v>1084.5</v>
      </c>
      <c r="G6" s="3">
        <f>VLOOKUP(C6,'[1]אחוז ניהול'!F:H,3,0)</f>
        <v>0.17</v>
      </c>
      <c r="H6" s="4">
        <f>SUM(F6*G6)</f>
        <v>184.36500000000001</v>
      </c>
    </row>
    <row r="7" spans="1:8" x14ac:dyDescent="0.2">
      <c r="A7" s="2"/>
      <c r="B7" s="2"/>
      <c r="C7" s="2">
        <v>25021</v>
      </c>
      <c r="D7" s="2" t="s">
        <v>7</v>
      </c>
      <c r="E7" s="2">
        <v>4</v>
      </c>
      <c r="F7" s="2">
        <v>74.8</v>
      </c>
      <c r="G7" s="3">
        <f>VLOOKUP(C7,'[1]אחוז ניהול'!F:H,3,0)</f>
        <v>0.17</v>
      </c>
      <c r="H7" s="4">
        <f>SUM(F7*G7)</f>
        <v>12.716000000000001</v>
      </c>
    </row>
    <row r="8" spans="1:8" x14ac:dyDescent="0.2">
      <c r="A8" s="2"/>
      <c r="B8" s="2"/>
      <c r="C8" s="2">
        <v>25045</v>
      </c>
      <c r="D8" s="2" t="s">
        <v>8</v>
      </c>
      <c r="E8" s="2">
        <v>440</v>
      </c>
      <c r="F8" s="2">
        <v>17512.46</v>
      </c>
      <c r="G8" s="3">
        <f>VLOOKUP(C8,'[1]אחוז ניהול'!F:H,3,0)</f>
        <v>0.17</v>
      </c>
      <c r="H8" s="4">
        <f>SUM(F8*G8)</f>
        <v>2977.1181999999999</v>
      </c>
    </row>
    <row r="9" spans="1:8" x14ac:dyDescent="0.2">
      <c r="A9" s="2"/>
      <c r="B9" s="2"/>
      <c r="C9" s="2">
        <v>25056</v>
      </c>
      <c r="D9" s="2" t="s">
        <v>9</v>
      </c>
      <c r="E9" s="2">
        <v>23</v>
      </c>
      <c r="F9" s="2">
        <v>802.69999999999993</v>
      </c>
      <c r="G9" s="3">
        <f>VLOOKUP(C9,'[1]אחוז ניהול'!F:H,3,0)</f>
        <v>0.17</v>
      </c>
      <c r="H9" s="4">
        <f>SUM(F9*G9)</f>
        <v>136.459</v>
      </c>
    </row>
    <row r="10" spans="1:8" x14ac:dyDescent="0.2">
      <c r="A10" s="2"/>
      <c r="B10" s="2"/>
      <c r="C10" s="2">
        <v>25077</v>
      </c>
      <c r="D10" s="2" t="s">
        <v>10</v>
      </c>
      <c r="E10" s="2">
        <v>1200</v>
      </c>
      <c r="F10" s="2">
        <v>14400.41</v>
      </c>
      <c r="G10" s="3">
        <f>VLOOKUP(C10,'[1]אחוז ניהול'!F:H,3,0)</f>
        <v>0.17</v>
      </c>
      <c r="H10" s="4">
        <f>SUM(F10*G10)</f>
        <v>2448.0697</v>
      </c>
    </row>
    <row r="11" spans="1:8" x14ac:dyDescent="0.2">
      <c r="A11" s="2"/>
      <c r="B11" s="2"/>
      <c r="C11" s="2">
        <v>25084</v>
      </c>
      <c r="D11" s="2" t="s">
        <v>11</v>
      </c>
      <c r="E11" s="2">
        <v>186</v>
      </c>
      <c r="F11" s="2">
        <v>2473.7600000000002</v>
      </c>
      <c r="G11" s="3">
        <f>VLOOKUP(C11,'[1]אחוז ניהול'!F:H,3,0)</f>
        <v>0.17</v>
      </c>
      <c r="H11" s="4">
        <f>SUM(F11*G11)</f>
        <v>420.53920000000005</v>
      </c>
    </row>
    <row r="12" spans="1:8" x14ac:dyDescent="0.2">
      <c r="A12" s="2"/>
      <c r="B12" s="2"/>
      <c r="C12" s="2">
        <v>25126</v>
      </c>
      <c r="D12" s="2" t="s">
        <v>12</v>
      </c>
      <c r="E12" s="2">
        <v>900</v>
      </c>
      <c r="F12" s="2">
        <v>4680.0200000000004</v>
      </c>
      <c r="G12" s="3">
        <f>VLOOKUP(C12,'[1]אחוז ניהול'!F:H,3,0)</f>
        <v>0.17</v>
      </c>
      <c r="H12" s="4">
        <f>SUM(F12*G12)</f>
        <v>795.60340000000008</v>
      </c>
    </row>
    <row r="13" spans="1:8" x14ac:dyDescent="0.2">
      <c r="A13" s="2"/>
      <c r="B13" s="2"/>
      <c r="C13" s="2">
        <v>25220</v>
      </c>
      <c r="D13" s="2" t="s">
        <v>13</v>
      </c>
      <c r="E13" s="2">
        <v>167</v>
      </c>
      <c r="F13" s="2">
        <v>2722.1000000000004</v>
      </c>
      <c r="G13" s="3">
        <f>VLOOKUP(C13,'[1]אחוז ניהול'!F:H,3,0)</f>
        <v>0.17</v>
      </c>
      <c r="H13" s="4">
        <f>SUM(F13*G13)</f>
        <v>462.75700000000012</v>
      </c>
    </row>
    <row r="14" spans="1:8" x14ac:dyDescent="0.2">
      <c r="A14" s="2"/>
      <c r="B14" s="2"/>
      <c r="C14" s="2">
        <v>25232</v>
      </c>
      <c r="D14" s="2" t="s">
        <v>14</v>
      </c>
      <c r="E14" s="2">
        <v>1</v>
      </c>
      <c r="F14" s="2">
        <v>10</v>
      </c>
      <c r="G14" s="3">
        <f>VLOOKUP(C14,'[1]אחוז ניהול'!F:H,3,0)</f>
        <v>0.1</v>
      </c>
      <c r="H14" s="4">
        <f>SUM(F14*G14)</f>
        <v>1</v>
      </c>
    </row>
    <row r="15" spans="1:8" x14ac:dyDescent="0.2">
      <c r="A15" s="2"/>
      <c r="B15" s="2"/>
      <c r="C15" s="2">
        <v>26001</v>
      </c>
      <c r="D15" s="2" t="s">
        <v>15</v>
      </c>
      <c r="E15" s="2">
        <v>19</v>
      </c>
      <c r="F15" s="2">
        <v>1533.31</v>
      </c>
      <c r="G15" s="3">
        <f>VLOOKUP(C15,'[1]אחוז ניהול'!F:H,3,0)</f>
        <v>0.17</v>
      </c>
      <c r="H15" s="4">
        <f>SUM(F15*G15)</f>
        <v>260.66270000000003</v>
      </c>
    </row>
    <row r="16" spans="1:8" x14ac:dyDescent="0.2">
      <c r="A16" s="2"/>
      <c r="B16" s="2"/>
      <c r="C16" s="2">
        <v>26063</v>
      </c>
      <c r="D16" s="2" t="s">
        <v>16</v>
      </c>
      <c r="E16" s="2">
        <v>4</v>
      </c>
      <c r="F16" s="2">
        <v>156.01</v>
      </c>
      <c r="G16" s="3">
        <f>VLOOKUP(C16,'[1]אחוז ניהול'!F:H,3,0)</f>
        <v>0.17</v>
      </c>
      <c r="H16" s="4">
        <f>SUM(F16*G16)</f>
        <v>26.521699999999999</v>
      </c>
    </row>
    <row r="17" spans="1:8" x14ac:dyDescent="0.2">
      <c r="A17" s="2"/>
      <c r="B17" s="2"/>
      <c r="C17" s="2">
        <v>3001003</v>
      </c>
      <c r="D17" s="2" t="s">
        <v>17</v>
      </c>
      <c r="E17" s="2">
        <v>17</v>
      </c>
      <c r="F17" s="2">
        <v>544</v>
      </c>
      <c r="G17" s="3">
        <f>VLOOKUP(C17,'[1]אחוז ניהול'!F:H,3,0)</f>
        <v>0.17</v>
      </c>
      <c r="H17" s="4">
        <f>SUM(F17*G17)</f>
        <v>92.48</v>
      </c>
    </row>
    <row r="18" spans="1:8" x14ac:dyDescent="0.2">
      <c r="A18" s="2"/>
      <c r="B18" s="2"/>
      <c r="C18" s="2">
        <v>3002001</v>
      </c>
      <c r="D18" s="2" t="s">
        <v>18</v>
      </c>
      <c r="E18" s="2">
        <v>18</v>
      </c>
      <c r="F18" s="2">
        <v>684.01</v>
      </c>
      <c r="G18" s="3">
        <f>VLOOKUP(C18,'[1]אחוז ניהול'!F:H,3,0)</f>
        <v>0.17</v>
      </c>
      <c r="H18" s="4">
        <f>SUM(F18*G18)</f>
        <v>116.2817</v>
      </c>
    </row>
    <row r="19" spans="1:8" x14ac:dyDescent="0.2">
      <c r="A19" s="2"/>
      <c r="B19" s="2"/>
      <c r="C19" s="2">
        <v>3002002</v>
      </c>
      <c r="D19" s="2" t="s">
        <v>19</v>
      </c>
      <c r="E19" s="2">
        <v>12</v>
      </c>
      <c r="F19" s="2">
        <v>456</v>
      </c>
      <c r="G19" s="3">
        <f>VLOOKUP(C19,'[1]אחוז ניהול'!F:H,3,0)</f>
        <v>0.17</v>
      </c>
      <c r="H19" s="4">
        <f>SUM(F19*G19)</f>
        <v>77.52000000000001</v>
      </c>
    </row>
    <row r="20" spans="1:8" x14ac:dyDescent="0.2">
      <c r="A20" s="2"/>
      <c r="B20" s="2"/>
      <c r="C20" s="2">
        <v>5017300</v>
      </c>
      <c r="D20" s="2" t="s">
        <v>20</v>
      </c>
      <c r="E20" s="2">
        <v>28</v>
      </c>
      <c r="F20" s="2">
        <v>4928.13</v>
      </c>
      <c r="G20" s="3">
        <f>VLOOKUP(C20,'[1]אחוז ניהול'!F:H,3,0)</f>
        <v>0.2</v>
      </c>
      <c r="H20" s="4">
        <f>SUM(F20*G20)</f>
        <v>985.62600000000009</v>
      </c>
    </row>
    <row r="21" spans="1:8" x14ac:dyDescent="0.2">
      <c r="A21" s="2"/>
      <c r="B21" s="2"/>
      <c r="C21" s="2">
        <v>5017301</v>
      </c>
      <c r="D21" s="2" t="s">
        <v>21</v>
      </c>
      <c r="E21" s="2">
        <v>48</v>
      </c>
      <c r="F21" s="2">
        <v>8784.24</v>
      </c>
      <c r="G21" s="3">
        <f>VLOOKUP(C21,'[1]אחוז ניהול'!F:H,3,0)</f>
        <v>0.17</v>
      </c>
      <c r="H21" s="4">
        <f>SUM(F21*G21)</f>
        <v>1493.3208</v>
      </c>
    </row>
    <row r="22" spans="1:8" x14ac:dyDescent="0.2">
      <c r="A22" s="2"/>
      <c r="B22" s="2"/>
      <c r="C22" s="2">
        <v>5017302</v>
      </c>
      <c r="D22" s="2" t="s">
        <v>22</v>
      </c>
      <c r="E22" s="2">
        <v>53</v>
      </c>
      <c r="F22" s="2">
        <v>12773.36</v>
      </c>
      <c r="G22" s="3">
        <f>VLOOKUP(C22,'[1]אחוז ניהול'!F:H,3,0)</f>
        <v>0.17</v>
      </c>
      <c r="H22" s="4">
        <f>SUM(F22*G22)</f>
        <v>2171.4712000000004</v>
      </c>
    </row>
    <row r="23" spans="1:8" x14ac:dyDescent="0.2">
      <c r="A23" s="2"/>
      <c r="B23" s="2"/>
      <c r="C23" s="2">
        <v>6017200</v>
      </c>
      <c r="D23" s="2" t="s">
        <v>23</v>
      </c>
      <c r="E23" s="2">
        <v>32</v>
      </c>
      <c r="F23" s="2">
        <v>19200.11</v>
      </c>
      <c r="G23" s="3">
        <f>VLOOKUP(C23,'[1]אחוז ניהול'!F:H,3,0)</f>
        <v>0.1</v>
      </c>
      <c r="H23" s="4">
        <f>SUM(F23*G23)</f>
        <v>1920.0110000000002</v>
      </c>
    </row>
    <row r="24" spans="1:8" x14ac:dyDescent="0.2">
      <c r="A24" s="2"/>
      <c r="B24" s="2"/>
      <c r="C24" s="2">
        <v>6017201</v>
      </c>
      <c r="D24" s="2" t="s">
        <v>24</v>
      </c>
      <c r="E24" s="2">
        <v>22</v>
      </c>
      <c r="F24" s="2">
        <v>13200.07</v>
      </c>
      <c r="G24" s="3">
        <f>VLOOKUP(C24,'[1]אחוז ניהול'!F:H,3,0)</f>
        <v>0.1</v>
      </c>
      <c r="H24" s="4">
        <f>SUM(F24*G24)</f>
        <v>1320.0070000000001</v>
      </c>
    </row>
    <row r="25" spans="1:8" x14ac:dyDescent="0.2">
      <c r="A25" s="2"/>
      <c r="B25" s="2"/>
      <c r="C25" s="2">
        <v>6017202</v>
      </c>
      <c r="D25" s="2" t="s">
        <v>25</v>
      </c>
      <c r="E25" s="2">
        <v>13</v>
      </c>
      <c r="F25" s="2">
        <v>7800.03</v>
      </c>
      <c r="G25" s="3">
        <f>VLOOKUP(C25,'[1]אחוז ניהול'!F:H,3,0)</f>
        <v>0.1</v>
      </c>
      <c r="H25" s="4">
        <f>SUM(F25*G25)</f>
        <v>780.00300000000004</v>
      </c>
    </row>
    <row r="26" spans="1:8" x14ac:dyDescent="0.2">
      <c r="A26" s="2"/>
      <c r="B26" s="2"/>
      <c r="C26" s="2">
        <v>6017501</v>
      </c>
      <c r="D26" s="2" t="s">
        <v>26</v>
      </c>
      <c r="E26" s="2">
        <v>80</v>
      </c>
      <c r="F26" s="2">
        <v>42666.86</v>
      </c>
      <c r="G26" s="3">
        <f>VLOOKUP(C26,'[1]אחוז ניהול'!F:H,3,0)</f>
        <v>0.1</v>
      </c>
      <c r="H26" s="4">
        <f>SUM(F26*G26)</f>
        <v>4266.6860000000006</v>
      </c>
    </row>
    <row r="27" spans="1:8" x14ac:dyDescent="0.2">
      <c r="A27" s="2"/>
      <c r="B27" s="2"/>
      <c r="C27" s="2">
        <v>7001250</v>
      </c>
      <c r="D27" s="2" t="s">
        <v>27</v>
      </c>
      <c r="E27" s="2">
        <v>51</v>
      </c>
      <c r="F27" s="2">
        <v>6579.02</v>
      </c>
      <c r="G27" s="3">
        <f>VLOOKUP(C27,'[1]אחוז ניהול'!F:H,3,0)</f>
        <v>0.17</v>
      </c>
      <c r="H27" s="4">
        <f>SUM(F27*G27)</f>
        <v>1118.4334000000001</v>
      </c>
    </row>
    <row r="28" spans="1:8" x14ac:dyDescent="0.2">
      <c r="A28" s="2"/>
      <c r="B28" s="2"/>
      <c r="C28" s="2">
        <v>80101220</v>
      </c>
      <c r="D28" s="2" t="s">
        <v>28</v>
      </c>
      <c r="E28" s="2">
        <v>115</v>
      </c>
      <c r="F28" s="2">
        <v>14627.650000000001</v>
      </c>
      <c r="G28" s="3">
        <f>VLOOKUP(C28,'[1]אחוז ניהול'!F:H,3,0)</f>
        <v>0.1</v>
      </c>
      <c r="H28" s="4">
        <f>SUM(F28*G28)</f>
        <v>1462.7650000000003</v>
      </c>
    </row>
    <row r="29" spans="1:8" x14ac:dyDescent="0.2">
      <c r="A29" s="2"/>
      <c r="B29" s="2"/>
      <c r="C29" s="2">
        <v>80307220</v>
      </c>
      <c r="D29" s="2" t="s">
        <v>29</v>
      </c>
      <c r="E29" s="2">
        <v>48</v>
      </c>
      <c r="F29" s="2">
        <v>6105.5400000000009</v>
      </c>
      <c r="G29" s="3">
        <f>VLOOKUP(C29,'[1]אחוז ניהול'!F:H,3,0)</f>
        <v>0.1</v>
      </c>
      <c r="H29" s="4">
        <f>SUM(F29*G29)</f>
        <v>610.55400000000009</v>
      </c>
    </row>
    <row r="30" spans="1:8" x14ac:dyDescent="0.2">
      <c r="A30" s="1" t="s">
        <v>30</v>
      </c>
      <c r="B30" s="1" t="s">
        <v>31</v>
      </c>
      <c r="C30" s="2">
        <v>1126071</v>
      </c>
      <c r="D30" s="2" t="s">
        <v>2</v>
      </c>
      <c r="E30" s="2">
        <v>81</v>
      </c>
      <c r="F30" s="2">
        <v>18224.98</v>
      </c>
      <c r="G30" s="3">
        <f>VLOOKUP(C30,'[1]אחוז ניהול'!F:H,3,0)</f>
        <v>0.17</v>
      </c>
      <c r="H30" s="4">
        <f>SUM(F30*G30)</f>
        <v>3098.2465999999999</v>
      </c>
    </row>
    <row r="31" spans="1:8" x14ac:dyDescent="0.2">
      <c r="A31" s="2"/>
      <c r="B31" s="2"/>
      <c r="C31" s="2">
        <v>126010</v>
      </c>
      <c r="D31" s="2" t="s">
        <v>4</v>
      </c>
      <c r="E31" s="2">
        <v>10</v>
      </c>
      <c r="F31" s="2">
        <v>420</v>
      </c>
      <c r="G31" s="3">
        <f>VLOOKUP(C31,'[1]אחוז ניהול'!F:H,3,0)</f>
        <v>0.17</v>
      </c>
      <c r="H31" s="4">
        <f>SUM(F31*G31)</f>
        <v>71.400000000000006</v>
      </c>
    </row>
    <row r="32" spans="1:8" x14ac:dyDescent="0.2">
      <c r="A32" s="2"/>
      <c r="B32" s="2"/>
      <c r="C32" s="2">
        <v>226040</v>
      </c>
      <c r="D32" s="2" t="s">
        <v>6</v>
      </c>
      <c r="E32" s="2">
        <v>3</v>
      </c>
      <c r="F32" s="2">
        <v>650.70000000000005</v>
      </c>
      <c r="G32" s="3">
        <f>VLOOKUP(C32,'[1]אחוז ניהול'!F:H,3,0)</f>
        <v>0.17</v>
      </c>
      <c r="H32" s="4">
        <f>SUM(F32*G32)</f>
        <v>110.61900000000001</v>
      </c>
    </row>
    <row r="33" spans="1:8" x14ac:dyDescent="0.2">
      <c r="A33" s="2"/>
      <c r="B33" s="2"/>
      <c r="C33" s="2">
        <v>25021</v>
      </c>
      <c r="D33" s="2" t="s">
        <v>7</v>
      </c>
      <c r="E33" s="2">
        <v>8</v>
      </c>
      <c r="F33" s="2">
        <v>149.6</v>
      </c>
      <c r="G33" s="3">
        <f>VLOOKUP(C33,'[1]אחוז ניהול'!F:H,3,0)</f>
        <v>0.17</v>
      </c>
      <c r="H33" s="4">
        <f>SUM(F33*G33)</f>
        <v>25.432000000000002</v>
      </c>
    </row>
    <row r="34" spans="1:8" x14ac:dyDescent="0.2">
      <c r="A34" s="2"/>
      <c r="B34" s="2"/>
      <c r="C34" s="2">
        <v>25045</v>
      </c>
      <c r="D34" s="2" t="s">
        <v>8</v>
      </c>
      <c r="E34" s="2">
        <v>291</v>
      </c>
      <c r="F34" s="2">
        <v>11581.779999999999</v>
      </c>
      <c r="G34" s="3">
        <f>VLOOKUP(C34,'[1]אחוז ניהול'!F:H,3,0)</f>
        <v>0.17</v>
      </c>
      <c r="H34" s="4">
        <f>SUM(F34*G34)</f>
        <v>1968.9025999999999</v>
      </c>
    </row>
    <row r="35" spans="1:8" x14ac:dyDescent="0.2">
      <c r="A35" s="2"/>
      <c r="B35" s="2"/>
      <c r="C35" s="2">
        <v>25056</v>
      </c>
      <c r="D35" s="2" t="s">
        <v>9</v>
      </c>
      <c r="E35" s="2">
        <v>41</v>
      </c>
      <c r="F35" s="2">
        <v>1430.8999999999999</v>
      </c>
      <c r="G35" s="3">
        <f>VLOOKUP(C35,'[1]אחוז ניהול'!F:H,3,0)</f>
        <v>0.17</v>
      </c>
      <c r="H35" s="4">
        <f>SUM(F35*G35)</f>
        <v>243.25299999999999</v>
      </c>
    </row>
    <row r="36" spans="1:8" x14ac:dyDescent="0.2">
      <c r="A36" s="2"/>
      <c r="B36" s="2"/>
      <c r="C36" s="2">
        <v>25077</v>
      </c>
      <c r="D36" s="2" t="s">
        <v>10</v>
      </c>
      <c r="E36" s="2">
        <v>1124</v>
      </c>
      <c r="F36" s="2">
        <v>13487.95</v>
      </c>
      <c r="G36" s="3">
        <f>VLOOKUP(C36,'[1]אחוז ניהול'!F:H,3,0)</f>
        <v>0.17</v>
      </c>
      <c r="H36" s="4">
        <f>SUM(F36*G36)</f>
        <v>2292.9515000000001</v>
      </c>
    </row>
    <row r="37" spans="1:8" x14ac:dyDescent="0.2">
      <c r="A37" s="2"/>
      <c r="B37" s="2"/>
      <c r="C37" s="2">
        <v>25084</v>
      </c>
      <c r="D37" s="2" t="s">
        <v>11</v>
      </c>
      <c r="E37" s="2">
        <v>175</v>
      </c>
      <c r="F37" s="2">
        <v>2327.4900000000002</v>
      </c>
      <c r="G37" s="3">
        <f>VLOOKUP(C37,'[1]אחוז ניהול'!F:H,3,0)</f>
        <v>0.17</v>
      </c>
      <c r="H37" s="4">
        <f>SUM(F37*G37)</f>
        <v>395.67330000000004</v>
      </c>
    </row>
    <row r="38" spans="1:8" x14ac:dyDescent="0.2">
      <c r="A38" s="2"/>
      <c r="B38" s="2"/>
      <c r="C38" s="2">
        <v>25126</v>
      </c>
      <c r="D38" s="2" t="s">
        <v>12</v>
      </c>
      <c r="E38" s="2">
        <v>1140</v>
      </c>
      <c r="F38" s="2">
        <v>5927.98</v>
      </c>
      <c r="G38" s="3">
        <f>VLOOKUP(C38,'[1]אחוז ניהול'!F:H,3,0)</f>
        <v>0.17</v>
      </c>
      <c r="H38" s="4">
        <f>SUM(F38*G38)</f>
        <v>1007.7566</v>
      </c>
    </row>
    <row r="39" spans="1:8" x14ac:dyDescent="0.2">
      <c r="A39" s="2"/>
      <c r="B39" s="2"/>
      <c r="C39" s="2">
        <v>25219</v>
      </c>
      <c r="D39" s="2" t="s">
        <v>32</v>
      </c>
      <c r="E39" s="2">
        <v>10</v>
      </c>
      <c r="F39" s="2">
        <v>99.99</v>
      </c>
      <c r="G39" s="3">
        <f>VLOOKUP(C39,'[1]אחוז ניהול'!F:H,3,0)</f>
        <v>0.17</v>
      </c>
      <c r="H39" s="4">
        <f>SUM(F39*G39)</f>
        <v>16.9983</v>
      </c>
    </row>
    <row r="40" spans="1:8" x14ac:dyDescent="0.2">
      <c r="A40" s="2"/>
      <c r="B40" s="2"/>
      <c r="C40" s="2">
        <v>25220</v>
      </c>
      <c r="D40" s="2" t="s">
        <v>13</v>
      </c>
      <c r="E40" s="2">
        <v>284</v>
      </c>
      <c r="F40" s="2">
        <v>4629.1900000000005</v>
      </c>
      <c r="G40" s="3">
        <f>VLOOKUP(C40,'[1]אחוז ניהול'!F:H,3,0)</f>
        <v>0.17</v>
      </c>
      <c r="H40" s="4">
        <f>SUM(F40*G40)</f>
        <v>786.96230000000014</v>
      </c>
    </row>
    <row r="41" spans="1:8" x14ac:dyDescent="0.2">
      <c r="A41" s="2"/>
      <c r="B41" s="2"/>
      <c r="C41" s="2">
        <v>25232</v>
      </c>
      <c r="D41" s="2" t="s">
        <v>14</v>
      </c>
      <c r="E41" s="2">
        <v>1</v>
      </c>
      <c r="F41" s="2">
        <v>10</v>
      </c>
      <c r="G41" s="3">
        <f>VLOOKUP(C41,'[1]אחוז ניהול'!F:H,3,0)</f>
        <v>0.1</v>
      </c>
      <c r="H41" s="4">
        <f>SUM(F41*G41)</f>
        <v>1</v>
      </c>
    </row>
    <row r="42" spans="1:8" x14ac:dyDescent="0.2">
      <c r="A42" s="2"/>
      <c r="B42" s="2"/>
      <c r="C42" s="2">
        <v>26001</v>
      </c>
      <c r="D42" s="2" t="s">
        <v>15</v>
      </c>
      <c r="E42" s="2">
        <v>20</v>
      </c>
      <c r="F42" s="2">
        <v>1614</v>
      </c>
      <c r="G42" s="3">
        <f>VLOOKUP(C42,'[1]אחוז ניהול'!F:H,3,0)</f>
        <v>0.17</v>
      </c>
      <c r="H42" s="4">
        <f>SUM(F42*G42)</f>
        <v>274.38</v>
      </c>
    </row>
    <row r="43" spans="1:8" x14ac:dyDescent="0.2">
      <c r="A43" s="2"/>
      <c r="B43" s="2"/>
      <c r="C43" s="2">
        <v>26063</v>
      </c>
      <c r="D43" s="2" t="s">
        <v>16</v>
      </c>
      <c r="E43" s="2">
        <v>2</v>
      </c>
      <c r="F43" s="2">
        <v>78</v>
      </c>
      <c r="G43" s="3">
        <f>VLOOKUP(C43,'[1]אחוז ניהול'!F:H,3,0)</f>
        <v>0.17</v>
      </c>
      <c r="H43" s="4">
        <f>SUM(F43*G43)</f>
        <v>13.260000000000002</v>
      </c>
    </row>
    <row r="44" spans="1:8" x14ac:dyDescent="0.2">
      <c r="A44" s="2"/>
      <c r="B44" s="2"/>
      <c r="C44" s="2">
        <v>3001003</v>
      </c>
      <c r="D44" s="2" t="s">
        <v>17</v>
      </c>
      <c r="E44" s="2">
        <v>13</v>
      </c>
      <c r="F44" s="2">
        <v>416</v>
      </c>
      <c r="G44" s="3">
        <f>VLOOKUP(C44,'[1]אחוז ניהול'!F:H,3,0)</f>
        <v>0.17</v>
      </c>
      <c r="H44" s="4">
        <f>SUM(F44*G44)</f>
        <v>70.72</v>
      </c>
    </row>
    <row r="45" spans="1:8" x14ac:dyDescent="0.2">
      <c r="A45" s="2"/>
      <c r="B45" s="2"/>
      <c r="C45" s="2">
        <v>3002001</v>
      </c>
      <c r="D45" s="2" t="s">
        <v>18</v>
      </c>
      <c r="E45" s="2">
        <v>32</v>
      </c>
      <c r="F45" s="2">
        <v>1215.97</v>
      </c>
      <c r="G45" s="3">
        <f>VLOOKUP(C45,'[1]אחוז ניהול'!F:H,3,0)</f>
        <v>0.17</v>
      </c>
      <c r="H45" s="4">
        <f>SUM(F45*G45)</f>
        <v>206.71490000000003</v>
      </c>
    </row>
    <row r="46" spans="1:8" x14ac:dyDescent="0.2">
      <c r="A46" s="2"/>
      <c r="B46" s="2"/>
      <c r="C46" s="2">
        <v>3002002</v>
      </c>
      <c r="D46" s="2" t="s">
        <v>19</v>
      </c>
      <c r="E46" s="2">
        <v>8</v>
      </c>
      <c r="F46" s="2">
        <v>304</v>
      </c>
      <c r="G46" s="3">
        <f>VLOOKUP(C46,'[1]אחוז ניהול'!F:H,3,0)</f>
        <v>0.17</v>
      </c>
      <c r="H46" s="4">
        <f>SUM(F46*G46)</f>
        <v>51.680000000000007</v>
      </c>
    </row>
    <row r="47" spans="1:8" x14ac:dyDescent="0.2">
      <c r="A47" s="2"/>
      <c r="B47" s="2"/>
      <c r="C47" s="2">
        <v>5017300</v>
      </c>
      <c r="D47" s="2" t="s">
        <v>20</v>
      </c>
      <c r="E47" s="2">
        <v>27</v>
      </c>
      <c r="F47" s="2">
        <v>4751.99</v>
      </c>
      <c r="G47" s="3">
        <f>VLOOKUP(C47,'[1]אחוז ניהול'!F:H,3,0)</f>
        <v>0.2</v>
      </c>
      <c r="H47" s="4">
        <f>SUM(F47*G47)</f>
        <v>950.39800000000002</v>
      </c>
    </row>
    <row r="48" spans="1:8" x14ac:dyDescent="0.2">
      <c r="A48" s="2"/>
      <c r="B48" s="2"/>
      <c r="C48" s="2">
        <v>5017301</v>
      </c>
      <c r="D48" s="2" t="s">
        <v>21</v>
      </c>
      <c r="E48" s="2">
        <v>34</v>
      </c>
      <c r="F48" s="2">
        <v>6222</v>
      </c>
      <c r="G48" s="3">
        <f>VLOOKUP(C48,'[1]אחוז ניהול'!F:H,3,0)</f>
        <v>0.17</v>
      </c>
      <c r="H48" s="4">
        <f>SUM(F48*G48)</f>
        <v>1057.74</v>
      </c>
    </row>
    <row r="49" spans="1:8" x14ac:dyDescent="0.2">
      <c r="A49" s="2"/>
      <c r="B49" s="2"/>
      <c r="C49" s="2">
        <v>5017302</v>
      </c>
      <c r="D49" s="2" t="s">
        <v>22</v>
      </c>
      <c r="E49" s="2">
        <v>28</v>
      </c>
      <c r="F49" s="2">
        <v>6748.01</v>
      </c>
      <c r="G49" s="3">
        <f>VLOOKUP(C49,'[1]אחוז ניהול'!F:H,3,0)</f>
        <v>0.17</v>
      </c>
      <c r="H49" s="4">
        <f>SUM(F49*G49)</f>
        <v>1147.1617000000001</v>
      </c>
    </row>
    <row r="50" spans="1:8" x14ac:dyDescent="0.2">
      <c r="A50" s="2"/>
      <c r="B50" s="2"/>
      <c r="C50" s="2">
        <v>6017200</v>
      </c>
      <c r="D50" s="2" t="s">
        <v>23</v>
      </c>
      <c r="E50" s="2">
        <v>28</v>
      </c>
      <c r="F50" s="2">
        <v>16799.900000000001</v>
      </c>
      <c r="G50" s="3">
        <f>VLOOKUP(C50,'[1]אחוז ניהול'!F:H,3,0)</f>
        <v>0.1</v>
      </c>
      <c r="H50" s="4">
        <f>SUM(F50*G50)</f>
        <v>1679.9900000000002</v>
      </c>
    </row>
    <row r="51" spans="1:8" x14ac:dyDescent="0.2">
      <c r="A51" s="2"/>
      <c r="B51" s="2"/>
      <c r="C51" s="2">
        <v>6017201</v>
      </c>
      <c r="D51" s="2" t="s">
        <v>24</v>
      </c>
      <c r="E51" s="2">
        <v>14</v>
      </c>
      <c r="F51" s="2">
        <v>8399.91</v>
      </c>
      <c r="G51" s="3">
        <f>VLOOKUP(C51,'[1]אחוז ניהול'!F:H,3,0)</f>
        <v>0.1</v>
      </c>
      <c r="H51" s="4">
        <f>SUM(F51*G51)</f>
        <v>839.99099999999999</v>
      </c>
    </row>
    <row r="52" spans="1:8" x14ac:dyDescent="0.2">
      <c r="A52" s="2"/>
      <c r="B52" s="2"/>
      <c r="C52" s="2">
        <v>6017202</v>
      </c>
      <c r="D52" s="2" t="s">
        <v>25</v>
      </c>
      <c r="E52" s="2">
        <v>10</v>
      </c>
      <c r="F52" s="2">
        <v>6000.0400000000009</v>
      </c>
      <c r="G52" s="3">
        <f>VLOOKUP(C52,'[1]אחוז ניהול'!F:H,3,0)</f>
        <v>0.1</v>
      </c>
      <c r="H52" s="4">
        <f>SUM(F52*G52)</f>
        <v>600.00400000000013</v>
      </c>
    </row>
    <row r="53" spans="1:8" x14ac:dyDescent="0.2">
      <c r="A53" s="2"/>
      <c r="B53" s="2"/>
      <c r="C53" s="2">
        <v>6017501</v>
      </c>
      <c r="D53" s="2" t="s">
        <v>26</v>
      </c>
      <c r="E53" s="2">
        <v>58</v>
      </c>
      <c r="F53" s="2">
        <v>30933.1</v>
      </c>
      <c r="G53" s="3">
        <f>VLOOKUP(C53,'[1]אחוז ניהול'!F:H,3,0)</f>
        <v>0.1</v>
      </c>
      <c r="H53" s="4">
        <f>SUM(F53*G53)</f>
        <v>3093.31</v>
      </c>
    </row>
    <row r="54" spans="1:8" x14ac:dyDescent="0.2">
      <c r="A54" s="2"/>
      <c r="B54" s="2"/>
      <c r="C54" s="2">
        <v>7001250</v>
      </c>
      <c r="D54" s="2" t="s">
        <v>27</v>
      </c>
      <c r="E54" s="2">
        <v>30</v>
      </c>
      <c r="F54" s="2">
        <v>3870</v>
      </c>
      <c r="G54" s="3">
        <f>VLOOKUP(C54,'[1]אחוז ניהול'!F:H,3,0)</f>
        <v>0.17</v>
      </c>
      <c r="H54" s="4">
        <f>SUM(F54*G54)</f>
        <v>657.90000000000009</v>
      </c>
    </row>
    <row r="55" spans="1:8" x14ac:dyDescent="0.2">
      <c r="A55" s="2"/>
      <c r="B55" s="2"/>
      <c r="C55" s="2">
        <v>80101220</v>
      </c>
      <c r="D55" s="2" t="s">
        <v>28</v>
      </c>
      <c r="E55" s="2">
        <v>121</v>
      </c>
      <c r="F55" s="2">
        <v>15391.130000000001</v>
      </c>
      <c r="G55" s="3">
        <f>VLOOKUP(C55,'[1]אחוז ניהול'!F:H,3,0)</f>
        <v>0.1</v>
      </c>
      <c r="H55" s="4">
        <f>SUM(F55*G55)</f>
        <v>1539.1130000000003</v>
      </c>
    </row>
    <row r="56" spans="1:8" x14ac:dyDescent="0.2">
      <c r="A56" s="2"/>
      <c r="B56" s="2"/>
      <c r="C56" s="2">
        <v>80307220</v>
      </c>
      <c r="D56" s="2" t="s">
        <v>29</v>
      </c>
      <c r="E56" s="2">
        <v>55</v>
      </c>
      <c r="F56" s="2">
        <v>6995.9000000000005</v>
      </c>
      <c r="G56" s="3">
        <f>VLOOKUP(C56,'[1]אחוז ניהול'!F:H,3,0)</f>
        <v>0.1</v>
      </c>
      <c r="H56" s="4">
        <f>SUM(F56*G56)</f>
        <v>699.59000000000015</v>
      </c>
    </row>
    <row r="57" spans="1:8" x14ac:dyDescent="0.2">
      <c r="A57" s="1" t="s">
        <v>33</v>
      </c>
      <c r="B57" s="1" t="s">
        <v>34</v>
      </c>
      <c r="C57" s="2">
        <v>1126071</v>
      </c>
      <c r="D57" s="2" t="s">
        <v>2</v>
      </c>
      <c r="E57" s="2">
        <v>90</v>
      </c>
      <c r="F57" s="2">
        <v>20250.21</v>
      </c>
      <c r="G57" s="3">
        <f>VLOOKUP(C57,'[1]אחוז ניהול'!F:H,3,0)</f>
        <v>0.17</v>
      </c>
      <c r="H57" s="4">
        <f>SUM(F57*G57)</f>
        <v>3442.5356999999999</v>
      </c>
    </row>
    <row r="58" spans="1:8" x14ac:dyDescent="0.2">
      <c r="A58" s="2"/>
      <c r="B58" s="2"/>
      <c r="C58" s="2">
        <v>126010</v>
      </c>
      <c r="D58" s="2" t="s">
        <v>4</v>
      </c>
      <c r="E58" s="2">
        <v>21</v>
      </c>
      <c r="F58" s="2">
        <v>882</v>
      </c>
      <c r="G58" s="3">
        <f>VLOOKUP(C58,'[1]אחוז ניהול'!F:H,3,0)</f>
        <v>0.17</v>
      </c>
      <c r="H58" s="4">
        <f>SUM(F58*G58)</f>
        <v>149.94</v>
      </c>
    </row>
    <row r="59" spans="1:8" x14ac:dyDescent="0.2">
      <c r="A59" s="2"/>
      <c r="B59" s="2"/>
      <c r="C59" s="2">
        <v>226018</v>
      </c>
      <c r="D59" s="2" t="s">
        <v>5</v>
      </c>
      <c r="E59" s="2">
        <v>2</v>
      </c>
      <c r="F59" s="2">
        <v>109</v>
      </c>
      <c r="G59" s="3">
        <f>VLOOKUP(C59,'[1]אחוז ניהול'!F:H,3,0)</f>
        <v>0.17</v>
      </c>
      <c r="H59" s="4">
        <f>SUM(F59*G59)</f>
        <v>18.53</v>
      </c>
    </row>
    <row r="60" spans="1:8" x14ac:dyDescent="0.2">
      <c r="A60" s="2"/>
      <c r="B60" s="2"/>
      <c r="C60" s="2">
        <v>226040</v>
      </c>
      <c r="D60" s="2" t="s">
        <v>6</v>
      </c>
      <c r="E60" s="2">
        <v>5</v>
      </c>
      <c r="F60" s="2">
        <v>1084.52</v>
      </c>
      <c r="G60" s="3">
        <f>VLOOKUP(C60,'[1]אחוז ניהול'!F:H,3,0)</f>
        <v>0.17</v>
      </c>
      <c r="H60" s="4">
        <f>SUM(F60*G60)</f>
        <v>184.36840000000001</v>
      </c>
    </row>
    <row r="61" spans="1:8" x14ac:dyDescent="0.2">
      <c r="A61" s="2"/>
      <c r="B61" s="2"/>
      <c r="C61" s="2">
        <v>25021</v>
      </c>
      <c r="D61" s="2" t="s">
        <v>7</v>
      </c>
      <c r="E61" s="2">
        <v>5</v>
      </c>
      <c r="F61" s="2">
        <v>93.5</v>
      </c>
      <c r="G61" s="3">
        <f>VLOOKUP(C61,'[1]אחוז ניהול'!F:H,3,0)</f>
        <v>0.17</v>
      </c>
      <c r="H61" s="4">
        <f>SUM(F61*G61)</f>
        <v>15.895000000000001</v>
      </c>
    </row>
    <row r="62" spans="1:8" x14ac:dyDescent="0.2">
      <c r="A62" s="2"/>
      <c r="B62" s="2"/>
      <c r="C62" s="2">
        <v>25045</v>
      </c>
      <c r="D62" s="2" t="s">
        <v>8</v>
      </c>
      <c r="E62" s="2">
        <v>432</v>
      </c>
      <c r="F62" s="2">
        <v>17193.79</v>
      </c>
      <c r="G62" s="3">
        <f>VLOOKUP(C62,'[1]אחוז ניהול'!F:H,3,0)</f>
        <v>0.17</v>
      </c>
      <c r="H62" s="4">
        <f>SUM(F62*G62)</f>
        <v>2922.9443000000006</v>
      </c>
    </row>
    <row r="63" spans="1:8" x14ac:dyDescent="0.2">
      <c r="A63" s="2"/>
      <c r="B63" s="2"/>
      <c r="C63" s="2">
        <v>25056</v>
      </c>
      <c r="D63" s="2" t="s">
        <v>9</v>
      </c>
      <c r="E63" s="2">
        <v>23</v>
      </c>
      <c r="F63" s="2">
        <v>802.7</v>
      </c>
      <c r="G63" s="3">
        <f>VLOOKUP(C63,'[1]אחוז ניהול'!F:H,3,0)</f>
        <v>0.17</v>
      </c>
      <c r="H63" s="4">
        <f>SUM(F63*G63)</f>
        <v>136.45900000000003</v>
      </c>
    </row>
    <row r="64" spans="1:8" x14ac:dyDescent="0.2">
      <c r="A64" s="2"/>
      <c r="B64" s="2"/>
      <c r="C64" s="2">
        <v>25077</v>
      </c>
      <c r="D64" s="2" t="s">
        <v>10</v>
      </c>
      <c r="E64" s="2">
        <v>1188</v>
      </c>
      <c r="F64" s="2">
        <v>14256.16</v>
      </c>
      <c r="G64" s="3">
        <f>VLOOKUP(C64,'[1]אחוז ניהול'!F:H,3,0)</f>
        <v>0.17</v>
      </c>
      <c r="H64" s="4">
        <f>SUM(F64*G64)</f>
        <v>2423.5472</v>
      </c>
    </row>
    <row r="65" spans="1:8" x14ac:dyDescent="0.2">
      <c r="A65" s="2"/>
      <c r="B65" s="2"/>
      <c r="C65" s="2">
        <v>25084</v>
      </c>
      <c r="D65" s="2" t="s">
        <v>11</v>
      </c>
      <c r="E65" s="2">
        <v>70</v>
      </c>
      <c r="F65" s="2">
        <v>931</v>
      </c>
      <c r="G65" s="3">
        <f>VLOOKUP(C65,'[1]אחוז ניהול'!F:H,3,0)</f>
        <v>0.17</v>
      </c>
      <c r="H65" s="4">
        <f>SUM(F65*G65)</f>
        <v>158.27000000000001</v>
      </c>
    </row>
    <row r="66" spans="1:8" x14ac:dyDescent="0.2">
      <c r="A66" s="2"/>
      <c r="B66" s="2"/>
      <c r="C66" s="2">
        <v>25125</v>
      </c>
      <c r="D66" s="2" t="s">
        <v>35</v>
      </c>
      <c r="E66" s="2">
        <v>180</v>
      </c>
      <c r="F66" s="2">
        <v>935.99</v>
      </c>
      <c r="G66" s="3">
        <f>VLOOKUP(C66,'[1]אחוז ניהול'!F:H,3,0)</f>
        <v>0.17</v>
      </c>
      <c r="H66" s="4">
        <f>SUM(F66*G66)</f>
        <v>159.1183</v>
      </c>
    </row>
    <row r="67" spans="1:8" x14ac:dyDescent="0.2">
      <c r="A67" s="2"/>
      <c r="B67" s="2"/>
      <c r="C67" s="2">
        <v>25126</v>
      </c>
      <c r="D67" s="2" t="s">
        <v>12</v>
      </c>
      <c r="E67" s="2">
        <v>630</v>
      </c>
      <c r="F67" s="2">
        <v>3276.04</v>
      </c>
      <c r="G67" s="3">
        <f>VLOOKUP(C67,'[1]אחוז ניהול'!F:H,3,0)</f>
        <v>0.17</v>
      </c>
      <c r="H67" s="4">
        <f>SUM(F67*G67)</f>
        <v>556.92680000000007</v>
      </c>
    </row>
    <row r="68" spans="1:8" x14ac:dyDescent="0.2">
      <c r="A68" s="2"/>
      <c r="B68" s="2"/>
      <c r="C68" s="2">
        <v>25220</v>
      </c>
      <c r="D68" s="2" t="s">
        <v>13</v>
      </c>
      <c r="E68" s="2">
        <v>162</v>
      </c>
      <c r="F68" s="2">
        <v>2640.61</v>
      </c>
      <c r="G68" s="3">
        <f>VLOOKUP(C68,'[1]אחוז ניהול'!F:H,3,0)</f>
        <v>0.17</v>
      </c>
      <c r="H68" s="4">
        <f>SUM(F68*G68)</f>
        <v>448.90370000000007</v>
      </c>
    </row>
    <row r="69" spans="1:8" x14ac:dyDescent="0.2">
      <c r="A69" s="2"/>
      <c r="B69" s="2"/>
      <c r="C69" s="2">
        <v>25232</v>
      </c>
      <c r="D69" s="2" t="s">
        <v>14</v>
      </c>
      <c r="E69" s="2">
        <v>33</v>
      </c>
      <c r="F69" s="2">
        <v>330.01</v>
      </c>
      <c r="G69" s="3">
        <f>VLOOKUP(C69,'[1]אחוז ניהול'!F:H,3,0)</f>
        <v>0.1</v>
      </c>
      <c r="H69" s="4">
        <f>SUM(F69*G69)</f>
        <v>33.000999999999998</v>
      </c>
    </row>
    <row r="70" spans="1:8" x14ac:dyDescent="0.2">
      <c r="A70" s="2"/>
      <c r="B70" s="2"/>
      <c r="C70" s="2">
        <v>26001</v>
      </c>
      <c r="D70" s="2" t="s">
        <v>15</v>
      </c>
      <c r="E70" s="2">
        <v>10</v>
      </c>
      <c r="F70" s="2">
        <v>807</v>
      </c>
      <c r="G70" s="3">
        <f>VLOOKUP(C70,'[1]אחוז ניהול'!F:H,3,0)</f>
        <v>0.17</v>
      </c>
      <c r="H70" s="4">
        <f>SUM(F70*G70)</f>
        <v>137.19</v>
      </c>
    </row>
    <row r="71" spans="1:8" x14ac:dyDescent="0.2">
      <c r="A71" s="2"/>
      <c r="B71" s="2"/>
      <c r="C71" s="2">
        <v>26063</v>
      </c>
      <c r="D71" s="2" t="s">
        <v>16</v>
      </c>
      <c r="E71" s="2">
        <v>2</v>
      </c>
      <c r="F71" s="2">
        <v>77.97</v>
      </c>
      <c r="G71" s="3">
        <f>VLOOKUP(C71,'[1]אחוז ניהול'!F:H,3,0)</f>
        <v>0.17</v>
      </c>
      <c r="H71" s="4">
        <f>SUM(F71*G71)</f>
        <v>13.254900000000001</v>
      </c>
    </row>
    <row r="72" spans="1:8" x14ac:dyDescent="0.2">
      <c r="A72" s="2"/>
      <c r="B72" s="2"/>
      <c r="C72" s="2">
        <v>3001003</v>
      </c>
      <c r="D72" s="2" t="s">
        <v>17</v>
      </c>
      <c r="E72" s="2">
        <v>12</v>
      </c>
      <c r="F72" s="2">
        <v>384</v>
      </c>
      <c r="G72" s="3">
        <f>VLOOKUP(C72,'[1]אחוז ניהול'!F:H,3,0)</f>
        <v>0.17</v>
      </c>
      <c r="H72" s="4">
        <f>SUM(F72*G72)</f>
        <v>65.28</v>
      </c>
    </row>
    <row r="73" spans="1:8" x14ac:dyDescent="0.2">
      <c r="A73" s="2"/>
      <c r="B73" s="2"/>
      <c r="C73" s="2">
        <v>3002001</v>
      </c>
      <c r="D73" s="2" t="s">
        <v>18</v>
      </c>
      <c r="E73" s="2">
        <v>22</v>
      </c>
      <c r="F73" s="2">
        <v>836.42000000000007</v>
      </c>
      <c r="G73" s="3">
        <f>VLOOKUP(C73,'[1]אחוז ניהול'!F:H,3,0)</f>
        <v>0.17</v>
      </c>
      <c r="H73" s="4">
        <f>SUM(F73*G73)</f>
        <v>142.19140000000002</v>
      </c>
    </row>
    <row r="74" spans="1:8" x14ac:dyDescent="0.2">
      <c r="A74" s="2"/>
      <c r="B74" s="2"/>
      <c r="C74" s="2">
        <v>3002002</v>
      </c>
      <c r="D74" s="2" t="s">
        <v>19</v>
      </c>
      <c r="E74" s="2">
        <v>9</v>
      </c>
      <c r="F74" s="2">
        <v>342</v>
      </c>
      <c r="G74" s="3">
        <f>VLOOKUP(C74,'[1]אחוז ניהול'!F:H,3,0)</f>
        <v>0.17</v>
      </c>
      <c r="H74" s="4">
        <f>SUM(F74*G74)</f>
        <v>58.140000000000008</v>
      </c>
    </row>
    <row r="75" spans="1:8" x14ac:dyDescent="0.2">
      <c r="A75" s="2"/>
      <c r="B75" s="2"/>
      <c r="C75" s="2">
        <v>5017300</v>
      </c>
      <c r="D75" s="2" t="s">
        <v>20</v>
      </c>
      <c r="E75" s="2">
        <v>37</v>
      </c>
      <c r="F75" s="2">
        <v>6512.0599999999995</v>
      </c>
      <c r="G75" s="3">
        <f>VLOOKUP(C75,'[1]אחוז ניהול'!F:H,3,0)</f>
        <v>0.2</v>
      </c>
      <c r="H75" s="4">
        <f>SUM(F75*G75)</f>
        <v>1302.412</v>
      </c>
    </row>
    <row r="76" spans="1:8" x14ac:dyDescent="0.2">
      <c r="A76" s="2"/>
      <c r="B76" s="2"/>
      <c r="C76" s="2">
        <v>5017301</v>
      </c>
      <c r="D76" s="2" t="s">
        <v>21</v>
      </c>
      <c r="E76" s="2">
        <v>56</v>
      </c>
      <c r="F76" s="2">
        <v>10248.11</v>
      </c>
      <c r="G76" s="3">
        <f>VLOOKUP(C76,'[1]אחוז ניהול'!F:H,3,0)</f>
        <v>0.17</v>
      </c>
      <c r="H76" s="4">
        <f>SUM(F76*G76)</f>
        <v>1742.1787000000002</v>
      </c>
    </row>
    <row r="77" spans="1:8" x14ac:dyDescent="0.2">
      <c r="A77" s="2"/>
      <c r="B77" s="2"/>
      <c r="C77" s="2">
        <v>5017302</v>
      </c>
      <c r="D77" s="2" t="s">
        <v>22</v>
      </c>
      <c r="E77" s="2">
        <v>53</v>
      </c>
      <c r="F77" s="2">
        <v>12773.13</v>
      </c>
      <c r="G77" s="3">
        <f>VLOOKUP(C77,'[1]אחוז ניהול'!F:H,3,0)</f>
        <v>0.17</v>
      </c>
      <c r="H77" s="4">
        <f>SUM(F77*G77)</f>
        <v>2171.4321</v>
      </c>
    </row>
    <row r="78" spans="1:8" x14ac:dyDescent="0.2">
      <c r="A78" s="2"/>
      <c r="B78" s="2"/>
      <c r="C78" s="2">
        <v>6017200</v>
      </c>
      <c r="D78" s="2" t="s">
        <v>23</v>
      </c>
      <c r="E78" s="2">
        <v>21</v>
      </c>
      <c r="F78" s="2">
        <v>12600.12</v>
      </c>
      <c r="G78" s="3">
        <f>VLOOKUP(C78,'[1]אחוז ניהול'!F:H,3,0)</f>
        <v>0.1</v>
      </c>
      <c r="H78" s="4">
        <f>SUM(F78*G78)</f>
        <v>1260.0120000000002</v>
      </c>
    </row>
    <row r="79" spans="1:8" x14ac:dyDescent="0.2">
      <c r="A79" s="2"/>
      <c r="B79" s="2"/>
      <c r="C79" s="2">
        <v>6017201</v>
      </c>
      <c r="D79" s="2" t="s">
        <v>24</v>
      </c>
      <c r="E79" s="2">
        <v>19</v>
      </c>
      <c r="F79" s="2">
        <v>11400.130000000001</v>
      </c>
      <c r="G79" s="3">
        <f>VLOOKUP(C79,'[1]אחוז ניהול'!F:H,3,0)</f>
        <v>0.1</v>
      </c>
      <c r="H79" s="4">
        <f>SUM(F79*G79)</f>
        <v>1140.0130000000001</v>
      </c>
    </row>
    <row r="80" spans="1:8" x14ac:dyDescent="0.2">
      <c r="A80" s="2"/>
      <c r="B80" s="2"/>
      <c r="C80" s="2">
        <v>6017202</v>
      </c>
      <c r="D80" s="2" t="s">
        <v>25</v>
      </c>
      <c r="E80" s="2">
        <v>10</v>
      </c>
      <c r="F80" s="2">
        <v>6000.09</v>
      </c>
      <c r="G80" s="3">
        <f>VLOOKUP(C80,'[1]אחוז ניהול'!F:H,3,0)</f>
        <v>0.1</v>
      </c>
      <c r="H80" s="4">
        <f>SUM(F80*G80)</f>
        <v>600.00900000000001</v>
      </c>
    </row>
    <row r="81" spans="1:8" x14ac:dyDescent="0.2">
      <c r="A81" s="2"/>
      <c r="B81" s="2"/>
      <c r="C81" s="2">
        <v>6017501</v>
      </c>
      <c r="D81" s="2" t="s">
        <v>26</v>
      </c>
      <c r="E81" s="2">
        <v>49</v>
      </c>
      <c r="F81" s="2">
        <v>26133.46</v>
      </c>
      <c r="G81" s="3">
        <f>VLOOKUP(C81,'[1]אחוז ניהול'!F:H,3,0)</f>
        <v>0.1</v>
      </c>
      <c r="H81" s="4">
        <f>SUM(F81*G81)</f>
        <v>2613.346</v>
      </c>
    </row>
    <row r="82" spans="1:8" x14ac:dyDescent="0.2">
      <c r="A82" s="2"/>
      <c r="B82" s="2"/>
      <c r="C82" s="2">
        <v>7001250</v>
      </c>
      <c r="D82" s="2" t="s">
        <v>27</v>
      </c>
      <c r="E82" s="2">
        <v>39</v>
      </c>
      <c r="F82" s="2">
        <v>5031.03</v>
      </c>
      <c r="G82" s="3">
        <f>VLOOKUP(C82,'[1]אחוז ניהול'!F:H,3,0)</f>
        <v>0.17</v>
      </c>
      <c r="H82" s="4">
        <f>SUM(F82*G82)</f>
        <v>855.27510000000007</v>
      </c>
    </row>
    <row r="83" spans="1:8" x14ac:dyDescent="0.2">
      <c r="A83" s="2"/>
      <c r="B83" s="2"/>
      <c r="C83" s="2">
        <v>80101220</v>
      </c>
      <c r="D83" s="2" t="s">
        <v>28</v>
      </c>
      <c r="E83" s="2">
        <v>91</v>
      </c>
      <c r="F83" s="2">
        <v>11575.31</v>
      </c>
      <c r="G83" s="3">
        <f>VLOOKUP(C83,'[1]אחוז ניהול'!F:H,3,0)</f>
        <v>0.1</v>
      </c>
      <c r="H83" s="4">
        <f>SUM(F83*G83)</f>
        <v>1157.5309999999999</v>
      </c>
    </row>
    <row r="84" spans="1:8" x14ac:dyDescent="0.2">
      <c r="A84" s="2"/>
      <c r="B84" s="2"/>
      <c r="C84" s="2">
        <v>80307220</v>
      </c>
      <c r="D84" s="2" t="s">
        <v>29</v>
      </c>
      <c r="E84" s="2">
        <v>45</v>
      </c>
      <c r="F84" s="2">
        <v>5724.1399999999994</v>
      </c>
      <c r="G84" s="3">
        <f>VLOOKUP(C84,'[1]אחוז ניהול'!F:H,3,0)</f>
        <v>0.1</v>
      </c>
      <c r="H84" s="4">
        <f>SUM(F84*G84)</f>
        <v>572.41399999999999</v>
      </c>
    </row>
    <row r="85" spans="1:8" x14ac:dyDescent="0.2">
      <c r="A85" s="1" t="s">
        <v>36</v>
      </c>
      <c r="B85" s="1" t="s">
        <v>37</v>
      </c>
      <c r="C85" s="2">
        <v>1126071</v>
      </c>
      <c r="D85" s="2" t="s">
        <v>2</v>
      </c>
      <c r="E85" s="2">
        <v>57</v>
      </c>
      <c r="F85" s="2">
        <v>12824.869999999999</v>
      </c>
      <c r="G85" s="3">
        <f>VLOOKUP(C85,'[1]אחוז ניהול'!F:H,3,0)</f>
        <v>0.17</v>
      </c>
      <c r="H85" s="4">
        <f>SUM(F85*G85)</f>
        <v>2180.2278999999999</v>
      </c>
    </row>
    <row r="86" spans="1:8" x14ac:dyDescent="0.2">
      <c r="A86" s="2"/>
      <c r="B86" s="2"/>
      <c r="C86" s="2">
        <v>125060</v>
      </c>
      <c r="D86" s="2" t="s">
        <v>3</v>
      </c>
      <c r="E86" s="2">
        <v>24</v>
      </c>
      <c r="F86" s="2">
        <v>1445.98</v>
      </c>
      <c r="G86" s="3">
        <f>VLOOKUP(C86,'[1]אחוז ניהול'!F:H,3,0)</f>
        <v>0.17</v>
      </c>
      <c r="H86" s="4">
        <f>SUM(F86*G86)</f>
        <v>245.81660000000002</v>
      </c>
    </row>
    <row r="87" spans="1:8" x14ac:dyDescent="0.2">
      <c r="A87" s="2"/>
      <c r="B87" s="2"/>
      <c r="C87" s="2">
        <v>126010</v>
      </c>
      <c r="D87" s="2" t="s">
        <v>4</v>
      </c>
      <c r="E87" s="2">
        <v>8</v>
      </c>
      <c r="F87" s="2">
        <v>336</v>
      </c>
      <c r="G87" s="3">
        <f>VLOOKUP(C87,'[1]אחוז ניהול'!F:H,3,0)</f>
        <v>0.17</v>
      </c>
      <c r="H87" s="4">
        <f>SUM(F87*G87)</f>
        <v>57.120000000000005</v>
      </c>
    </row>
    <row r="88" spans="1:8" x14ac:dyDescent="0.2">
      <c r="A88" s="2"/>
      <c r="B88" s="2"/>
      <c r="C88" s="2">
        <v>226040</v>
      </c>
      <c r="D88" s="2" t="s">
        <v>6</v>
      </c>
      <c r="E88" s="2">
        <v>3</v>
      </c>
      <c r="F88" s="2">
        <v>650.71</v>
      </c>
      <c r="G88" s="3">
        <f>VLOOKUP(C88,'[1]אחוז ניהול'!F:H,3,0)</f>
        <v>0.17</v>
      </c>
      <c r="H88" s="4">
        <f>SUM(F88*G88)</f>
        <v>110.62070000000001</v>
      </c>
    </row>
    <row r="89" spans="1:8" x14ac:dyDescent="0.2">
      <c r="A89" s="2"/>
      <c r="B89" s="2"/>
      <c r="C89" s="2">
        <v>25021</v>
      </c>
      <c r="D89" s="2" t="s">
        <v>7</v>
      </c>
      <c r="E89" s="2">
        <v>2</v>
      </c>
      <c r="F89" s="2">
        <v>37.4</v>
      </c>
      <c r="G89" s="3">
        <f>VLOOKUP(C89,'[1]אחוז ניהול'!F:H,3,0)</f>
        <v>0.17</v>
      </c>
      <c r="H89" s="4">
        <f>SUM(F89*G89)</f>
        <v>6.3580000000000005</v>
      </c>
    </row>
    <row r="90" spans="1:8" x14ac:dyDescent="0.2">
      <c r="A90" s="2"/>
      <c r="B90" s="2"/>
      <c r="C90" s="2">
        <v>25045</v>
      </c>
      <c r="D90" s="2" t="s">
        <v>8</v>
      </c>
      <c r="E90" s="2">
        <v>273</v>
      </c>
      <c r="F90" s="2">
        <v>10865.279999999999</v>
      </c>
      <c r="G90" s="3">
        <f>VLOOKUP(C90,'[1]אחוז ניהול'!F:H,3,0)</f>
        <v>0.17</v>
      </c>
      <c r="H90" s="4">
        <f>SUM(F90*G90)</f>
        <v>1847.0975999999998</v>
      </c>
    </row>
    <row r="91" spans="1:8" x14ac:dyDescent="0.2">
      <c r="A91" s="2"/>
      <c r="B91" s="2"/>
      <c r="C91" s="2">
        <v>25056</v>
      </c>
      <c r="D91" s="2" t="s">
        <v>9</v>
      </c>
      <c r="E91" s="2">
        <v>12</v>
      </c>
      <c r="F91" s="2">
        <v>418.8</v>
      </c>
      <c r="G91" s="3">
        <f>VLOOKUP(C91,'[1]אחוז ניהול'!F:H,3,0)</f>
        <v>0.17</v>
      </c>
      <c r="H91" s="4">
        <f>SUM(F91*G91)</f>
        <v>71.196000000000012</v>
      </c>
    </row>
    <row r="92" spans="1:8" x14ac:dyDescent="0.2">
      <c r="A92" s="2"/>
      <c r="B92" s="2"/>
      <c r="C92" s="2">
        <v>25077</v>
      </c>
      <c r="D92" s="2" t="s">
        <v>10</v>
      </c>
      <c r="E92" s="2">
        <v>528</v>
      </c>
      <c r="F92" s="2">
        <v>6335.9400000000005</v>
      </c>
      <c r="G92" s="3">
        <f>VLOOKUP(C92,'[1]אחוז ניהול'!F:H,3,0)</f>
        <v>0.17</v>
      </c>
      <c r="H92" s="4">
        <f>SUM(F92*G92)</f>
        <v>1077.1098000000002</v>
      </c>
    </row>
    <row r="93" spans="1:8" x14ac:dyDescent="0.2">
      <c r="A93" s="2"/>
      <c r="B93" s="2"/>
      <c r="C93" s="2">
        <v>25084</v>
      </c>
      <c r="D93" s="2" t="s">
        <v>11</v>
      </c>
      <c r="E93" s="2">
        <v>55</v>
      </c>
      <c r="F93" s="2">
        <v>731.5</v>
      </c>
      <c r="G93" s="3">
        <f>VLOOKUP(C93,'[1]אחוז ניהול'!F:H,3,0)</f>
        <v>0.17</v>
      </c>
      <c r="H93" s="4">
        <f>SUM(F93*G93)</f>
        <v>124.355</v>
      </c>
    </row>
    <row r="94" spans="1:8" x14ac:dyDescent="0.2">
      <c r="A94" s="2"/>
      <c r="B94" s="2"/>
      <c r="C94" s="2">
        <v>25126</v>
      </c>
      <c r="D94" s="2" t="s">
        <v>12</v>
      </c>
      <c r="E94" s="2">
        <v>660</v>
      </c>
      <c r="F94" s="2">
        <v>3431.9800000000005</v>
      </c>
      <c r="G94" s="3">
        <f>VLOOKUP(C94,'[1]אחוז ניהול'!F:H,3,0)</f>
        <v>0.17</v>
      </c>
      <c r="H94" s="4">
        <f>SUM(F94*G94)</f>
        <v>583.43660000000011</v>
      </c>
    </row>
    <row r="95" spans="1:8" x14ac:dyDescent="0.2">
      <c r="A95" s="2"/>
      <c r="B95" s="2"/>
      <c r="C95" s="2">
        <v>25220</v>
      </c>
      <c r="D95" s="2" t="s">
        <v>13</v>
      </c>
      <c r="E95" s="2">
        <v>119</v>
      </c>
      <c r="F95" s="2">
        <v>1939.6899999999998</v>
      </c>
      <c r="G95" s="3">
        <f>VLOOKUP(C95,'[1]אחוז ניהול'!F:H,3,0)</f>
        <v>0.17</v>
      </c>
      <c r="H95" s="4">
        <f>SUM(F95*G95)</f>
        <v>329.7473</v>
      </c>
    </row>
    <row r="96" spans="1:8" x14ac:dyDescent="0.2">
      <c r="A96" s="2"/>
      <c r="B96" s="2"/>
      <c r="C96" s="2">
        <v>26001</v>
      </c>
      <c r="D96" s="2" t="s">
        <v>15</v>
      </c>
      <c r="E96" s="2">
        <v>12</v>
      </c>
      <c r="F96" s="2">
        <v>968.40000000000009</v>
      </c>
      <c r="G96" s="3">
        <f>VLOOKUP(C96,'[1]אחוז ניהול'!F:H,3,0)</f>
        <v>0.17</v>
      </c>
      <c r="H96" s="4">
        <f>SUM(F96*G96)</f>
        <v>164.62800000000001</v>
      </c>
    </row>
    <row r="97" spans="1:8" x14ac:dyDescent="0.2">
      <c r="A97" s="2"/>
      <c r="B97" s="2"/>
      <c r="C97" s="2">
        <v>3001003</v>
      </c>
      <c r="D97" s="2" t="s">
        <v>17</v>
      </c>
      <c r="E97" s="2">
        <v>5</v>
      </c>
      <c r="F97" s="2">
        <v>160</v>
      </c>
      <c r="G97" s="3">
        <f>VLOOKUP(C97,'[1]אחוז ניהול'!F:H,3,0)</f>
        <v>0.17</v>
      </c>
      <c r="H97" s="4">
        <f>SUM(F97*G97)</f>
        <v>27.200000000000003</v>
      </c>
    </row>
    <row r="98" spans="1:8" x14ac:dyDescent="0.2">
      <c r="A98" s="2"/>
      <c r="B98" s="2"/>
      <c r="C98" s="2">
        <v>3002001</v>
      </c>
      <c r="D98" s="2" t="s">
        <v>18</v>
      </c>
      <c r="E98" s="2">
        <v>23</v>
      </c>
      <c r="F98" s="2">
        <v>873.81</v>
      </c>
      <c r="G98" s="3">
        <f>VLOOKUP(C98,'[1]אחוז ניהול'!F:H,3,0)</f>
        <v>0.17</v>
      </c>
      <c r="H98" s="4">
        <f>SUM(F98*G98)</f>
        <v>148.54769999999999</v>
      </c>
    </row>
    <row r="99" spans="1:8" x14ac:dyDescent="0.2">
      <c r="A99" s="2"/>
      <c r="B99" s="2"/>
      <c r="C99" s="2">
        <v>3002002</v>
      </c>
      <c r="D99" s="2" t="s">
        <v>19</v>
      </c>
      <c r="E99" s="2">
        <v>3</v>
      </c>
      <c r="F99" s="2">
        <v>114</v>
      </c>
      <c r="G99" s="3">
        <f>VLOOKUP(C99,'[1]אחוז ניהול'!F:H,3,0)</f>
        <v>0.17</v>
      </c>
      <c r="H99" s="4">
        <f>SUM(F99*G99)</f>
        <v>19.380000000000003</v>
      </c>
    </row>
    <row r="100" spans="1:8" x14ac:dyDescent="0.2">
      <c r="A100" s="2"/>
      <c r="B100" s="2"/>
      <c r="C100" s="2">
        <v>5017300</v>
      </c>
      <c r="D100" s="2" t="s">
        <v>20</v>
      </c>
      <c r="E100" s="2">
        <v>17</v>
      </c>
      <c r="F100" s="2">
        <v>2991.9700000000003</v>
      </c>
      <c r="G100" s="3">
        <f>VLOOKUP(C100,'[1]אחוז ניהול'!F:H,3,0)</f>
        <v>0.2</v>
      </c>
      <c r="H100" s="4">
        <f>SUM(F100*G100)</f>
        <v>598.39400000000012</v>
      </c>
    </row>
    <row r="101" spans="1:8" x14ac:dyDescent="0.2">
      <c r="A101" s="2"/>
      <c r="B101" s="2"/>
      <c r="C101" s="2">
        <v>5017301</v>
      </c>
      <c r="D101" s="2" t="s">
        <v>21</v>
      </c>
      <c r="E101" s="2">
        <v>26</v>
      </c>
      <c r="F101" s="2">
        <v>4757.9400000000005</v>
      </c>
      <c r="G101" s="3">
        <f>VLOOKUP(C101,'[1]אחוז ניהול'!F:H,3,0)</f>
        <v>0.17</v>
      </c>
      <c r="H101" s="4">
        <f>SUM(F101*G101)</f>
        <v>808.84980000000019</v>
      </c>
    </row>
    <row r="102" spans="1:8" x14ac:dyDescent="0.2">
      <c r="A102" s="2"/>
      <c r="B102" s="2"/>
      <c r="C102" s="2">
        <v>5017302</v>
      </c>
      <c r="D102" s="2" t="s">
        <v>22</v>
      </c>
      <c r="E102" s="2">
        <v>24</v>
      </c>
      <c r="F102" s="2">
        <v>5783.92</v>
      </c>
      <c r="G102" s="3">
        <f>VLOOKUP(C102,'[1]אחוז ניהול'!F:H,3,0)</f>
        <v>0.17</v>
      </c>
      <c r="H102" s="4">
        <f>SUM(F102*G102)</f>
        <v>983.26640000000009</v>
      </c>
    </row>
    <row r="103" spans="1:8" x14ac:dyDescent="0.2">
      <c r="A103" s="2"/>
      <c r="B103" s="2"/>
      <c r="C103" s="2">
        <v>6017200</v>
      </c>
      <c r="D103" s="2" t="s">
        <v>23</v>
      </c>
      <c r="E103" s="2">
        <v>17</v>
      </c>
      <c r="F103" s="2">
        <v>10199.93</v>
      </c>
      <c r="G103" s="3">
        <f>VLOOKUP(C103,'[1]אחוז ניהול'!F:H,3,0)</f>
        <v>0.1</v>
      </c>
      <c r="H103" s="4">
        <f>SUM(F103*G103)</f>
        <v>1019.9930000000001</v>
      </c>
    </row>
    <row r="104" spans="1:8" x14ac:dyDescent="0.2">
      <c r="A104" s="2"/>
      <c r="B104" s="2"/>
      <c r="C104" s="2">
        <v>6017201</v>
      </c>
      <c r="D104" s="2" t="s">
        <v>24</v>
      </c>
      <c r="E104" s="2">
        <v>12</v>
      </c>
      <c r="F104" s="2">
        <v>7199.9800000000005</v>
      </c>
      <c r="G104" s="3">
        <f>VLOOKUP(C104,'[1]אחוז ניהול'!F:H,3,0)</f>
        <v>0.1</v>
      </c>
      <c r="H104" s="4">
        <f>SUM(F104*G104)</f>
        <v>719.99800000000005</v>
      </c>
    </row>
    <row r="105" spans="1:8" x14ac:dyDescent="0.2">
      <c r="A105" s="2"/>
      <c r="B105" s="2"/>
      <c r="C105" s="2">
        <v>6017202</v>
      </c>
      <c r="D105" s="2" t="s">
        <v>25</v>
      </c>
      <c r="E105" s="2">
        <v>8</v>
      </c>
      <c r="F105" s="2">
        <v>4800</v>
      </c>
      <c r="G105" s="3">
        <f>VLOOKUP(C105,'[1]אחוז ניהול'!F:H,3,0)</f>
        <v>0.1</v>
      </c>
      <c r="H105" s="4">
        <f>SUM(F105*G105)</f>
        <v>480</v>
      </c>
    </row>
    <row r="106" spans="1:8" x14ac:dyDescent="0.2">
      <c r="A106" s="2"/>
      <c r="B106" s="2"/>
      <c r="C106" s="2">
        <v>6017501</v>
      </c>
      <c r="D106" s="2" t="s">
        <v>26</v>
      </c>
      <c r="E106" s="2">
        <v>30</v>
      </c>
      <c r="F106" s="2">
        <v>15999.8</v>
      </c>
      <c r="G106" s="3">
        <f>VLOOKUP(C106,'[1]אחוז ניהול'!F:H,3,0)</f>
        <v>0.1</v>
      </c>
      <c r="H106" s="4">
        <f>SUM(F106*G106)</f>
        <v>1599.98</v>
      </c>
    </row>
    <row r="107" spans="1:8" x14ac:dyDescent="0.2">
      <c r="A107" s="2"/>
      <c r="B107" s="2"/>
      <c r="C107" s="2">
        <v>7001250</v>
      </c>
      <c r="D107" s="2" t="s">
        <v>27</v>
      </c>
      <c r="E107" s="2">
        <v>23</v>
      </c>
      <c r="F107" s="2">
        <v>2966.98</v>
      </c>
      <c r="G107" s="3">
        <f>VLOOKUP(C107,'[1]אחוז ניהול'!F:H,3,0)</f>
        <v>0.17</v>
      </c>
      <c r="H107" s="4">
        <f>SUM(F107*G107)</f>
        <v>504.38660000000004</v>
      </c>
    </row>
    <row r="108" spans="1:8" x14ac:dyDescent="0.2">
      <c r="A108" s="2"/>
      <c r="B108" s="2"/>
      <c r="C108" s="2">
        <v>80101220</v>
      </c>
      <c r="D108" s="2" t="s">
        <v>28</v>
      </c>
      <c r="E108" s="2">
        <v>61</v>
      </c>
      <c r="F108" s="2">
        <v>7759.1</v>
      </c>
      <c r="G108" s="3">
        <f>VLOOKUP(C108,'[1]אחוז ניהול'!F:H,3,0)</f>
        <v>0.1</v>
      </c>
      <c r="H108" s="4">
        <f>SUM(F108*G108)</f>
        <v>775.91000000000008</v>
      </c>
    </row>
    <row r="109" spans="1:8" x14ac:dyDescent="0.2">
      <c r="A109" s="2"/>
      <c r="B109" s="2"/>
      <c r="C109" s="2">
        <v>80307220</v>
      </c>
      <c r="D109" s="2" t="s">
        <v>29</v>
      </c>
      <c r="E109" s="2">
        <v>33</v>
      </c>
      <c r="F109" s="2">
        <v>4197.5599999999995</v>
      </c>
      <c r="G109" s="3">
        <f>VLOOKUP(C109,'[1]אחוז ניהול'!F:H,3,0)</f>
        <v>0.1</v>
      </c>
      <c r="H109" s="4">
        <f>SUM(F109*G109)</f>
        <v>419.75599999999997</v>
      </c>
    </row>
    <row r="110" spans="1:8" x14ac:dyDescent="0.2">
      <c r="A110" s="1" t="s">
        <v>38</v>
      </c>
      <c r="B110" s="1" t="s">
        <v>39</v>
      </c>
      <c r="C110" s="2">
        <v>1126071</v>
      </c>
      <c r="D110" s="2" t="s">
        <v>2</v>
      </c>
      <c r="E110" s="2">
        <v>63</v>
      </c>
      <c r="F110" s="2">
        <v>14175.08</v>
      </c>
      <c r="G110" s="3">
        <f>VLOOKUP(C110,'[1]אחוז ניהול'!F:H,3,0)</f>
        <v>0.17</v>
      </c>
      <c r="H110" s="4">
        <f>SUM(F110*G110)</f>
        <v>2409.7636000000002</v>
      </c>
    </row>
    <row r="111" spans="1:8" x14ac:dyDescent="0.2">
      <c r="A111" s="2"/>
      <c r="B111" s="2"/>
      <c r="C111" s="2">
        <v>125060</v>
      </c>
      <c r="D111" s="2" t="s">
        <v>3</v>
      </c>
      <c r="E111" s="2">
        <v>27</v>
      </c>
      <c r="F111" s="2">
        <v>1626.75</v>
      </c>
      <c r="G111" s="3">
        <f>VLOOKUP(C111,'[1]אחוז ניהול'!F:H,3,0)</f>
        <v>0.17</v>
      </c>
      <c r="H111" s="4">
        <f>SUM(F111*G111)</f>
        <v>276.54750000000001</v>
      </c>
    </row>
    <row r="112" spans="1:8" x14ac:dyDescent="0.2">
      <c r="A112" s="2"/>
      <c r="B112" s="2"/>
      <c r="C112" s="2">
        <v>126010</v>
      </c>
      <c r="D112" s="2" t="s">
        <v>4</v>
      </c>
      <c r="E112" s="2">
        <v>11</v>
      </c>
      <c r="F112" s="2">
        <v>462</v>
      </c>
      <c r="G112" s="3">
        <f>VLOOKUP(C112,'[1]אחוז ניהול'!F:H,3,0)</f>
        <v>0.17</v>
      </c>
      <c r="H112" s="4">
        <f>SUM(F112*G112)</f>
        <v>78.540000000000006</v>
      </c>
    </row>
    <row r="113" spans="1:8" x14ac:dyDescent="0.2">
      <c r="A113" s="2"/>
      <c r="B113" s="2"/>
      <c r="C113" s="2">
        <v>25021</v>
      </c>
      <c r="D113" s="2" t="s">
        <v>7</v>
      </c>
      <c r="E113" s="2">
        <v>5</v>
      </c>
      <c r="F113" s="2">
        <v>93.5</v>
      </c>
      <c r="G113" s="3">
        <f>VLOOKUP(C113,'[1]אחוז ניהול'!F:H,3,0)</f>
        <v>0.17</v>
      </c>
      <c r="H113" s="4">
        <f>SUM(F113*G113)</f>
        <v>15.895000000000001</v>
      </c>
    </row>
    <row r="114" spans="1:8" x14ac:dyDescent="0.2">
      <c r="A114" s="2"/>
      <c r="B114" s="2"/>
      <c r="C114" s="2">
        <v>25045</v>
      </c>
      <c r="D114" s="2" t="s">
        <v>8</v>
      </c>
      <c r="E114" s="2">
        <v>308</v>
      </c>
      <c r="F114" s="2">
        <v>12258.42</v>
      </c>
      <c r="G114" s="3">
        <f>VLOOKUP(C114,'[1]אחוז ניהול'!F:H,3,0)</f>
        <v>0.17</v>
      </c>
      <c r="H114" s="4">
        <f>SUM(F114*G114)</f>
        <v>2083.9313999999999</v>
      </c>
    </row>
    <row r="115" spans="1:8" x14ac:dyDescent="0.2">
      <c r="A115" s="2"/>
      <c r="B115" s="2"/>
      <c r="C115" s="2">
        <v>25056</v>
      </c>
      <c r="D115" s="2" t="s">
        <v>9</v>
      </c>
      <c r="E115" s="2">
        <v>16</v>
      </c>
      <c r="F115" s="2">
        <v>558.40000000000009</v>
      </c>
      <c r="G115" s="3">
        <f>VLOOKUP(C115,'[1]אחוז ניהול'!F:H,3,0)</f>
        <v>0.17</v>
      </c>
      <c r="H115" s="4">
        <f>SUM(F115*G115)</f>
        <v>94.928000000000026</v>
      </c>
    </row>
    <row r="116" spans="1:8" x14ac:dyDescent="0.2">
      <c r="A116" s="2"/>
      <c r="B116" s="2"/>
      <c r="C116" s="2">
        <v>25077</v>
      </c>
      <c r="D116" s="2" t="s">
        <v>10</v>
      </c>
      <c r="E116" s="2">
        <v>756</v>
      </c>
      <c r="F116" s="2">
        <v>9072.0300000000007</v>
      </c>
      <c r="G116" s="3">
        <f>VLOOKUP(C116,'[1]אחוז ניהול'!F:H,3,0)</f>
        <v>0.17</v>
      </c>
      <c r="H116" s="4">
        <f>SUM(F116*G116)</f>
        <v>1542.2451000000003</v>
      </c>
    </row>
    <row r="117" spans="1:8" x14ac:dyDescent="0.2">
      <c r="A117" s="2"/>
      <c r="B117" s="2"/>
      <c r="C117" s="2">
        <v>25084</v>
      </c>
      <c r="D117" s="2" t="s">
        <v>11</v>
      </c>
      <c r="E117" s="2">
        <v>140</v>
      </c>
      <c r="F117" s="2">
        <v>1862.0100000000002</v>
      </c>
      <c r="G117" s="3">
        <f>VLOOKUP(C117,'[1]אחוז ניהול'!F:H,3,0)</f>
        <v>0.17</v>
      </c>
      <c r="H117" s="4">
        <f>SUM(F117*G117)</f>
        <v>316.54170000000005</v>
      </c>
    </row>
    <row r="118" spans="1:8" x14ac:dyDescent="0.2">
      <c r="A118" s="2"/>
      <c r="B118" s="2"/>
      <c r="C118" s="2">
        <v>25126</v>
      </c>
      <c r="D118" s="2" t="s">
        <v>12</v>
      </c>
      <c r="E118" s="2">
        <v>810</v>
      </c>
      <c r="F118" s="2">
        <v>4212.0200000000004</v>
      </c>
      <c r="G118" s="3">
        <f>VLOOKUP(C118,'[1]אחוז ניהול'!F:H,3,0)</f>
        <v>0.17</v>
      </c>
      <c r="H118" s="4">
        <f>SUM(F118*G118)</f>
        <v>716.04340000000013</v>
      </c>
    </row>
    <row r="119" spans="1:8" x14ac:dyDescent="0.2">
      <c r="A119" s="2"/>
      <c r="B119" s="2"/>
      <c r="C119" s="2">
        <v>25220</v>
      </c>
      <c r="D119" s="2" t="s">
        <v>13</v>
      </c>
      <c r="E119" s="2">
        <v>98</v>
      </c>
      <c r="F119" s="2">
        <v>1597.4</v>
      </c>
      <c r="G119" s="3">
        <f>VLOOKUP(C119,'[1]אחוז ניהול'!F:H,3,0)</f>
        <v>0.17</v>
      </c>
      <c r="H119" s="4">
        <f>SUM(F119*G119)</f>
        <v>271.55800000000005</v>
      </c>
    </row>
    <row r="120" spans="1:8" x14ac:dyDescent="0.2">
      <c r="A120" s="2"/>
      <c r="B120" s="2"/>
      <c r="C120" s="2">
        <v>25232</v>
      </c>
      <c r="D120" s="2" t="s">
        <v>14</v>
      </c>
      <c r="E120" s="2">
        <v>14</v>
      </c>
      <c r="F120" s="2">
        <v>140</v>
      </c>
      <c r="G120" s="3">
        <f>VLOOKUP(C120,'[1]אחוז ניהול'!F:H,3,0)</f>
        <v>0.1</v>
      </c>
      <c r="H120" s="4">
        <f>SUM(F120*G120)</f>
        <v>14</v>
      </c>
    </row>
    <row r="121" spans="1:8" x14ac:dyDescent="0.2">
      <c r="A121" s="2"/>
      <c r="B121" s="2"/>
      <c r="C121" s="2">
        <v>26001</v>
      </c>
      <c r="D121" s="2" t="s">
        <v>15</v>
      </c>
      <c r="E121" s="2">
        <v>13</v>
      </c>
      <c r="F121" s="2">
        <v>1049.0999999999999</v>
      </c>
      <c r="G121" s="3">
        <f>VLOOKUP(C121,'[1]אחוז ניהול'!F:H,3,0)</f>
        <v>0.17</v>
      </c>
      <c r="H121" s="4">
        <f>SUM(F121*G121)</f>
        <v>178.34700000000001</v>
      </c>
    </row>
    <row r="122" spans="1:8" x14ac:dyDescent="0.2">
      <c r="A122" s="2"/>
      <c r="B122" s="2"/>
      <c r="C122" s="2">
        <v>26063</v>
      </c>
      <c r="D122" s="2" t="s">
        <v>16</v>
      </c>
      <c r="E122" s="2">
        <v>1</v>
      </c>
      <c r="F122" s="2">
        <v>39</v>
      </c>
      <c r="G122" s="3">
        <f>VLOOKUP(C122,'[1]אחוז ניהול'!F:H,3,0)</f>
        <v>0.17</v>
      </c>
      <c r="H122" s="4">
        <f>SUM(F122*G122)</f>
        <v>6.6300000000000008</v>
      </c>
    </row>
    <row r="123" spans="1:8" x14ac:dyDescent="0.2">
      <c r="A123" s="2"/>
      <c r="B123" s="2"/>
      <c r="C123" s="2">
        <v>3001003</v>
      </c>
      <c r="D123" s="2" t="s">
        <v>17</v>
      </c>
      <c r="E123" s="2">
        <v>13</v>
      </c>
      <c r="F123" s="2">
        <v>416</v>
      </c>
      <c r="G123" s="3">
        <f>VLOOKUP(C123,'[1]אחוז ניהול'!F:H,3,0)</f>
        <v>0.17</v>
      </c>
      <c r="H123" s="4">
        <f>SUM(F123*G123)</f>
        <v>70.72</v>
      </c>
    </row>
    <row r="124" spans="1:8" x14ac:dyDescent="0.2">
      <c r="A124" s="2"/>
      <c r="B124" s="2"/>
      <c r="C124" s="2">
        <v>3002001</v>
      </c>
      <c r="D124" s="2" t="s">
        <v>18</v>
      </c>
      <c r="E124" s="2">
        <v>18</v>
      </c>
      <c r="F124" s="2">
        <v>684</v>
      </c>
      <c r="G124" s="3">
        <f>VLOOKUP(C124,'[1]אחוז ניהול'!F:H,3,0)</f>
        <v>0.17</v>
      </c>
      <c r="H124" s="4">
        <f>SUM(F124*G124)</f>
        <v>116.28000000000002</v>
      </c>
    </row>
    <row r="125" spans="1:8" x14ac:dyDescent="0.2">
      <c r="A125" s="2"/>
      <c r="B125" s="2"/>
      <c r="C125" s="2">
        <v>3002002</v>
      </c>
      <c r="D125" s="2" t="s">
        <v>19</v>
      </c>
      <c r="E125" s="2">
        <v>11</v>
      </c>
      <c r="F125" s="2">
        <v>417.99</v>
      </c>
      <c r="G125" s="3">
        <f>VLOOKUP(C125,'[1]אחוז ניהול'!F:H,3,0)</f>
        <v>0.17</v>
      </c>
      <c r="H125" s="4">
        <f>SUM(F125*G125)</f>
        <v>71.058300000000003</v>
      </c>
    </row>
    <row r="126" spans="1:8" x14ac:dyDescent="0.2">
      <c r="A126" s="2"/>
      <c r="B126" s="2"/>
      <c r="C126" s="2">
        <v>5017300</v>
      </c>
      <c r="D126" s="2" t="s">
        <v>20</v>
      </c>
      <c r="E126" s="2">
        <v>23</v>
      </c>
      <c r="F126" s="2">
        <v>4048.03</v>
      </c>
      <c r="G126" s="3">
        <f>VLOOKUP(C126,'[1]אחוז ניהול'!F:H,3,0)</f>
        <v>0.2</v>
      </c>
      <c r="H126" s="4">
        <f>SUM(F126*G126)</f>
        <v>809.60600000000011</v>
      </c>
    </row>
    <row r="127" spans="1:8" x14ac:dyDescent="0.2">
      <c r="A127" s="2"/>
      <c r="B127" s="2"/>
      <c r="C127" s="2">
        <v>5017301</v>
      </c>
      <c r="D127" s="2" t="s">
        <v>21</v>
      </c>
      <c r="E127" s="2">
        <v>32</v>
      </c>
      <c r="F127" s="2">
        <v>5856</v>
      </c>
      <c r="G127" s="3">
        <f>VLOOKUP(C127,'[1]אחוז ניהול'!F:H,3,0)</f>
        <v>0.17</v>
      </c>
      <c r="H127" s="4">
        <f>SUM(F127*G127)</f>
        <v>995.5200000000001</v>
      </c>
    </row>
    <row r="128" spans="1:8" x14ac:dyDescent="0.2">
      <c r="A128" s="2"/>
      <c r="B128" s="2"/>
      <c r="C128" s="2">
        <v>5017302</v>
      </c>
      <c r="D128" s="2" t="s">
        <v>22</v>
      </c>
      <c r="E128" s="2">
        <v>36</v>
      </c>
      <c r="F128" s="2">
        <v>8676.2199999999993</v>
      </c>
      <c r="G128" s="3">
        <f>VLOOKUP(C128,'[1]אחוז ניהול'!F:H,3,0)</f>
        <v>0.17</v>
      </c>
      <c r="H128" s="4">
        <f>SUM(F128*G128)</f>
        <v>1474.9574</v>
      </c>
    </row>
    <row r="129" spans="1:8" x14ac:dyDescent="0.2">
      <c r="A129" s="2"/>
      <c r="B129" s="2"/>
      <c r="C129" s="2">
        <v>6001501</v>
      </c>
      <c r="D129" s="2" t="s">
        <v>40</v>
      </c>
      <c r="E129" s="2">
        <v>32</v>
      </c>
      <c r="F129" s="2">
        <v>11520.09</v>
      </c>
      <c r="G129" s="3">
        <f>VLOOKUP(C129,'[1]אחוז ניהול'!F:H,3,0)</f>
        <v>0.1</v>
      </c>
      <c r="H129" s="4">
        <f>SUM(F129*G129)</f>
        <v>1152.009</v>
      </c>
    </row>
    <row r="130" spans="1:8" x14ac:dyDescent="0.2">
      <c r="A130" s="2"/>
      <c r="B130" s="2"/>
      <c r="C130" s="2">
        <v>6001521</v>
      </c>
      <c r="D130" s="2" t="s">
        <v>41</v>
      </c>
      <c r="E130" s="2">
        <v>3</v>
      </c>
      <c r="F130" s="2">
        <v>1079.97</v>
      </c>
      <c r="G130" s="3">
        <f>VLOOKUP(C130,'[1]אחוז ניהול'!F:H,3,0)</f>
        <v>0.1</v>
      </c>
      <c r="H130" s="4">
        <f>SUM(F130*G130)</f>
        <v>107.99700000000001</v>
      </c>
    </row>
    <row r="131" spans="1:8" x14ac:dyDescent="0.2">
      <c r="A131" s="2"/>
      <c r="B131" s="2"/>
      <c r="C131" s="2">
        <v>6017200</v>
      </c>
      <c r="D131" s="2" t="s">
        <v>23</v>
      </c>
      <c r="E131" s="2">
        <v>28</v>
      </c>
      <c r="F131" s="2">
        <v>16800.100000000002</v>
      </c>
      <c r="G131" s="3">
        <f>VLOOKUP(C131,'[1]אחוז ניהול'!F:H,3,0)</f>
        <v>0.1</v>
      </c>
      <c r="H131" s="4">
        <f>SUM(F131*G131)</f>
        <v>1680.0100000000002</v>
      </c>
    </row>
    <row r="132" spans="1:8" x14ac:dyDescent="0.2">
      <c r="A132" s="2"/>
      <c r="B132" s="2"/>
      <c r="C132" s="2">
        <v>6017201</v>
      </c>
      <c r="D132" s="2" t="s">
        <v>24</v>
      </c>
      <c r="E132" s="2">
        <v>14</v>
      </c>
      <c r="F132" s="2">
        <v>8400.0400000000009</v>
      </c>
      <c r="G132" s="3">
        <f>VLOOKUP(C132,'[1]אחוז ניהול'!F:H,3,0)</f>
        <v>0.1</v>
      </c>
      <c r="H132" s="4">
        <f>SUM(F132*G132)</f>
        <v>840.00400000000013</v>
      </c>
    </row>
    <row r="133" spans="1:8" x14ac:dyDescent="0.2">
      <c r="A133" s="2"/>
      <c r="B133" s="2"/>
      <c r="C133" s="2">
        <v>6017202</v>
      </c>
      <c r="D133" s="2" t="s">
        <v>25</v>
      </c>
      <c r="E133" s="2">
        <v>12</v>
      </c>
      <c r="F133" s="2">
        <v>7200.01</v>
      </c>
      <c r="G133" s="3">
        <f>VLOOKUP(C133,'[1]אחוז ניהול'!F:H,3,0)</f>
        <v>0.1</v>
      </c>
      <c r="H133" s="4">
        <f>SUM(F133*G133)</f>
        <v>720.00100000000009</v>
      </c>
    </row>
    <row r="134" spans="1:8" x14ac:dyDescent="0.2">
      <c r="A134" s="2"/>
      <c r="B134" s="2"/>
      <c r="C134" s="2">
        <v>6017501</v>
      </c>
      <c r="D134" s="2" t="s">
        <v>26</v>
      </c>
      <c r="E134" s="2">
        <v>52</v>
      </c>
      <c r="F134" s="2">
        <v>27733.25</v>
      </c>
      <c r="G134" s="3">
        <f>VLOOKUP(C134,'[1]אחוז ניהול'!F:H,3,0)</f>
        <v>0.1</v>
      </c>
      <c r="H134" s="4">
        <f>SUM(F134*G134)</f>
        <v>2773.3250000000003</v>
      </c>
    </row>
    <row r="135" spans="1:8" x14ac:dyDescent="0.2">
      <c r="A135" s="2"/>
      <c r="B135" s="2"/>
      <c r="C135" s="2">
        <v>7001250</v>
      </c>
      <c r="D135" s="2" t="s">
        <v>27</v>
      </c>
      <c r="E135" s="2">
        <v>33</v>
      </c>
      <c r="F135" s="2">
        <v>4257.01</v>
      </c>
      <c r="G135" s="3">
        <f>VLOOKUP(C135,'[1]אחוז ניהול'!F:H,3,0)</f>
        <v>0.17</v>
      </c>
      <c r="H135" s="4">
        <f>SUM(F135*G135)</f>
        <v>723.69170000000008</v>
      </c>
    </row>
    <row r="136" spans="1:8" x14ac:dyDescent="0.2">
      <c r="A136" s="2"/>
      <c r="B136" s="2"/>
      <c r="C136" s="2">
        <v>80101220</v>
      </c>
      <c r="D136" s="2" t="s">
        <v>28</v>
      </c>
      <c r="E136" s="2">
        <v>96</v>
      </c>
      <c r="F136" s="2">
        <v>12211.24</v>
      </c>
      <c r="G136" s="3">
        <f>VLOOKUP(C136,'[1]אחוז ניהול'!F:H,3,0)</f>
        <v>0.1</v>
      </c>
      <c r="H136" s="4">
        <f>SUM(F136*G136)</f>
        <v>1221.124</v>
      </c>
    </row>
    <row r="137" spans="1:8" x14ac:dyDescent="0.2">
      <c r="A137" s="2"/>
      <c r="B137" s="2"/>
      <c r="C137" s="2">
        <v>80204140</v>
      </c>
      <c r="D137" s="2" t="s">
        <v>42</v>
      </c>
      <c r="E137" s="2">
        <v>1</v>
      </c>
      <c r="F137" s="2">
        <v>120</v>
      </c>
      <c r="G137" s="3">
        <f>VLOOKUP(C137,'[1]אחוז ניהול'!F:H,3,0)</f>
        <v>0.1</v>
      </c>
      <c r="H137" s="4">
        <f>SUM(F137*G137)</f>
        <v>12</v>
      </c>
    </row>
    <row r="138" spans="1:8" x14ac:dyDescent="0.2">
      <c r="A138" s="2"/>
      <c r="B138" s="2"/>
      <c r="C138" s="2">
        <v>80307220</v>
      </c>
      <c r="D138" s="2" t="s">
        <v>29</v>
      </c>
      <c r="E138" s="2">
        <v>46</v>
      </c>
      <c r="F138" s="2">
        <v>5851.29</v>
      </c>
      <c r="G138" s="3">
        <f>VLOOKUP(C138,'[1]אחוז ניהול'!F:H,3,0)</f>
        <v>0.1</v>
      </c>
      <c r="H138" s="4">
        <f>SUM(F138*G138)</f>
        <v>585.12900000000002</v>
      </c>
    </row>
    <row r="139" spans="1:8" x14ac:dyDescent="0.2">
      <c r="A139" s="1" t="s">
        <v>43</v>
      </c>
      <c r="B139" s="1" t="s">
        <v>44</v>
      </c>
      <c r="C139" s="2">
        <v>1126071</v>
      </c>
      <c r="D139" s="2" t="s">
        <v>2</v>
      </c>
      <c r="E139" s="2">
        <v>58</v>
      </c>
      <c r="F139" s="2">
        <v>13050.04</v>
      </c>
      <c r="G139" s="3">
        <f>VLOOKUP(C139,'[1]אחוז ניהול'!F:H,3,0)</f>
        <v>0.17</v>
      </c>
      <c r="H139" s="4">
        <f>SUM(F139*G139)</f>
        <v>2218.5068000000001</v>
      </c>
    </row>
    <row r="140" spans="1:8" x14ac:dyDescent="0.2">
      <c r="A140" s="2"/>
      <c r="B140" s="2"/>
      <c r="C140" s="2">
        <v>126010</v>
      </c>
      <c r="D140" s="2" t="s">
        <v>4</v>
      </c>
      <c r="E140" s="2">
        <v>6</v>
      </c>
      <c r="F140" s="2">
        <v>252</v>
      </c>
      <c r="G140" s="3">
        <f>VLOOKUP(C140,'[1]אחוז ניהול'!F:H,3,0)</f>
        <v>0.17</v>
      </c>
      <c r="H140" s="4">
        <f>SUM(F140*G140)</f>
        <v>42.84</v>
      </c>
    </row>
    <row r="141" spans="1:8" x14ac:dyDescent="0.2">
      <c r="A141" s="2"/>
      <c r="B141" s="2"/>
      <c r="C141" s="2">
        <v>25021</v>
      </c>
      <c r="D141" s="2" t="s">
        <v>7</v>
      </c>
      <c r="E141" s="2">
        <v>5</v>
      </c>
      <c r="F141" s="2">
        <v>93.5</v>
      </c>
      <c r="G141" s="3">
        <f>VLOOKUP(C141,'[1]אחוז ניהול'!F:H,3,0)</f>
        <v>0.17</v>
      </c>
      <c r="H141" s="4">
        <f>SUM(F141*G141)</f>
        <v>15.895000000000001</v>
      </c>
    </row>
    <row r="142" spans="1:8" x14ac:dyDescent="0.2">
      <c r="A142" s="2"/>
      <c r="B142" s="2"/>
      <c r="C142" s="2">
        <v>25045</v>
      </c>
      <c r="D142" s="2" t="s">
        <v>8</v>
      </c>
      <c r="E142" s="2">
        <v>222</v>
      </c>
      <c r="F142" s="2">
        <v>8835.61</v>
      </c>
      <c r="G142" s="3">
        <f>VLOOKUP(C142,'[1]אחוז ניהול'!F:H,3,0)</f>
        <v>0.17</v>
      </c>
      <c r="H142" s="4">
        <f>SUM(F142*G142)</f>
        <v>1502.0537000000002</v>
      </c>
    </row>
    <row r="143" spans="1:8" x14ac:dyDescent="0.2">
      <c r="A143" s="2"/>
      <c r="B143" s="2"/>
      <c r="C143" s="2">
        <v>25056</v>
      </c>
      <c r="D143" s="2" t="s">
        <v>9</v>
      </c>
      <c r="E143" s="2">
        <v>13</v>
      </c>
      <c r="F143" s="2">
        <v>453.70000000000005</v>
      </c>
      <c r="G143" s="3">
        <f>VLOOKUP(C143,'[1]אחוז ניהול'!F:H,3,0)</f>
        <v>0.17</v>
      </c>
      <c r="H143" s="4">
        <f>SUM(F143*G143)</f>
        <v>77.129000000000019</v>
      </c>
    </row>
    <row r="144" spans="1:8" x14ac:dyDescent="0.2">
      <c r="A144" s="2"/>
      <c r="B144" s="2"/>
      <c r="C144" s="2">
        <v>25077</v>
      </c>
      <c r="D144" s="2" t="s">
        <v>10</v>
      </c>
      <c r="E144" s="2">
        <v>572</v>
      </c>
      <c r="F144" s="2">
        <v>6863.7800000000007</v>
      </c>
      <c r="G144" s="3">
        <f>VLOOKUP(C144,'[1]אחוז ניהול'!F:H,3,0)</f>
        <v>0.17</v>
      </c>
      <c r="H144" s="4">
        <f>SUM(F144*G144)</f>
        <v>1166.8426000000002</v>
      </c>
    </row>
    <row r="145" spans="1:8" x14ac:dyDescent="0.2">
      <c r="A145" s="2"/>
      <c r="B145" s="2"/>
      <c r="C145" s="2">
        <v>25084</v>
      </c>
      <c r="D145" s="2" t="s">
        <v>11</v>
      </c>
      <c r="E145" s="2">
        <v>71</v>
      </c>
      <c r="F145" s="2">
        <v>944.3</v>
      </c>
      <c r="G145" s="3">
        <f>VLOOKUP(C145,'[1]אחוז ניהול'!F:H,3,0)</f>
        <v>0.17</v>
      </c>
      <c r="H145" s="4">
        <f>SUM(F145*G145)</f>
        <v>160.53100000000001</v>
      </c>
    </row>
    <row r="146" spans="1:8" x14ac:dyDescent="0.2">
      <c r="A146" s="2"/>
      <c r="B146" s="2"/>
      <c r="C146" s="2">
        <v>25126</v>
      </c>
      <c r="D146" s="2" t="s">
        <v>12</v>
      </c>
      <c r="E146" s="2">
        <v>720</v>
      </c>
      <c r="F146" s="2">
        <v>3744.04</v>
      </c>
      <c r="G146" s="3">
        <f>VLOOKUP(C146,'[1]אחוז ניהול'!F:H,3,0)</f>
        <v>0.17</v>
      </c>
      <c r="H146" s="4">
        <f>SUM(F146*G146)</f>
        <v>636.48680000000002</v>
      </c>
    </row>
    <row r="147" spans="1:8" x14ac:dyDescent="0.2">
      <c r="A147" s="2"/>
      <c r="B147" s="2"/>
      <c r="C147" s="2">
        <v>25220</v>
      </c>
      <c r="D147" s="2" t="s">
        <v>13</v>
      </c>
      <c r="E147" s="2">
        <v>106</v>
      </c>
      <c r="F147" s="2">
        <v>1727.81</v>
      </c>
      <c r="G147" s="3">
        <f>VLOOKUP(C147,'[1]אחוז ניהול'!F:H,3,0)</f>
        <v>0.17</v>
      </c>
      <c r="H147" s="4">
        <f>SUM(F147*G147)</f>
        <v>293.72770000000003</v>
      </c>
    </row>
    <row r="148" spans="1:8" x14ac:dyDescent="0.2">
      <c r="A148" s="2"/>
      <c r="B148" s="2"/>
      <c r="C148" s="2">
        <v>26001</v>
      </c>
      <c r="D148" s="2" t="s">
        <v>15</v>
      </c>
      <c r="E148" s="2">
        <v>11</v>
      </c>
      <c r="F148" s="2">
        <v>887.71</v>
      </c>
      <c r="G148" s="3">
        <f>VLOOKUP(C148,'[1]אחוז ניהול'!F:H,3,0)</f>
        <v>0.17</v>
      </c>
      <c r="H148" s="4">
        <f>SUM(F148*G148)</f>
        <v>150.91070000000002</v>
      </c>
    </row>
    <row r="149" spans="1:8" x14ac:dyDescent="0.2">
      <c r="A149" s="2"/>
      <c r="B149" s="2"/>
      <c r="C149" s="2">
        <v>26063</v>
      </c>
      <c r="D149" s="2" t="s">
        <v>16</v>
      </c>
      <c r="E149" s="2">
        <v>2</v>
      </c>
      <c r="F149" s="2">
        <v>78.08</v>
      </c>
      <c r="G149" s="3">
        <f>VLOOKUP(C149,'[1]אחוז ניהול'!F:H,3,0)</f>
        <v>0.17</v>
      </c>
      <c r="H149" s="4">
        <f>SUM(F149*G149)</f>
        <v>13.2736</v>
      </c>
    </row>
    <row r="150" spans="1:8" x14ac:dyDescent="0.2">
      <c r="A150" s="2"/>
      <c r="B150" s="2"/>
      <c r="C150" s="2">
        <v>3001003</v>
      </c>
      <c r="D150" s="2" t="s">
        <v>17</v>
      </c>
      <c r="E150" s="2">
        <v>5</v>
      </c>
      <c r="F150" s="2">
        <v>160</v>
      </c>
      <c r="G150" s="3">
        <f>VLOOKUP(C150,'[1]אחוז ניהול'!F:H,3,0)</f>
        <v>0.17</v>
      </c>
      <c r="H150" s="4">
        <f>SUM(F150*G150)</f>
        <v>27.200000000000003</v>
      </c>
    </row>
    <row r="151" spans="1:8" x14ac:dyDescent="0.2">
      <c r="A151" s="2"/>
      <c r="B151" s="2"/>
      <c r="C151" s="2">
        <v>3002001</v>
      </c>
      <c r="D151" s="2" t="s">
        <v>18</v>
      </c>
      <c r="E151" s="2">
        <v>14</v>
      </c>
      <c r="F151" s="2">
        <v>532.01</v>
      </c>
      <c r="G151" s="3">
        <f>VLOOKUP(C151,'[1]אחוז ניהול'!F:H,3,0)</f>
        <v>0.17</v>
      </c>
      <c r="H151" s="4">
        <f>SUM(F151*G151)</f>
        <v>90.441700000000012</v>
      </c>
    </row>
    <row r="152" spans="1:8" x14ac:dyDescent="0.2">
      <c r="A152" s="2"/>
      <c r="B152" s="2"/>
      <c r="C152" s="2">
        <v>5017300</v>
      </c>
      <c r="D152" s="2" t="s">
        <v>20</v>
      </c>
      <c r="E152" s="2">
        <v>13</v>
      </c>
      <c r="F152" s="2">
        <v>2288.0500000000002</v>
      </c>
      <c r="G152" s="3">
        <f>VLOOKUP(C152,'[1]אחוז ניהול'!F:H,3,0)</f>
        <v>0.2</v>
      </c>
      <c r="H152" s="4">
        <f>SUM(F152*G152)</f>
        <v>457.61000000000007</v>
      </c>
    </row>
    <row r="153" spans="1:8" x14ac:dyDescent="0.2">
      <c r="A153" s="2"/>
      <c r="B153" s="2"/>
      <c r="C153" s="2">
        <v>5017301</v>
      </c>
      <c r="D153" s="2" t="s">
        <v>21</v>
      </c>
      <c r="E153" s="2">
        <v>20</v>
      </c>
      <c r="F153" s="2">
        <v>3660.08</v>
      </c>
      <c r="G153" s="3">
        <f>VLOOKUP(C153,'[1]אחוז ניהול'!F:H,3,0)</f>
        <v>0.17</v>
      </c>
      <c r="H153" s="4">
        <f>SUM(F153*G153)</f>
        <v>622.21360000000004</v>
      </c>
    </row>
    <row r="154" spans="1:8" x14ac:dyDescent="0.2">
      <c r="A154" s="2"/>
      <c r="B154" s="2"/>
      <c r="C154" s="2">
        <v>5017302</v>
      </c>
      <c r="D154" s="2" t="s">
        <v>22</v>
      </c>
      <c r="E154" s="2">
        <v>22</v>
      </c>
      <c r="F154" s="2">
        <v>5302.13</v>
      </c>
      <c r="G154" s="3">
        <f>VLOOKUP(C154,'[1]אחוז ניהול'!F:H,3,0)</f>
        <v>0.17</v>
      </c>
      <c r="H154" s="4">
        <f>SUM(F154*G154)</f>
        <v>901.36210000000005</v>
      </c>
    </row>
    <row r="155" spans="1:8" x14ac:dyDescent="0.2">
      <c r="A155" s="2"/>
      <c r="B155" s="2"/>
      <c r="C155" s="2">
        <v>6001501</v>
      </c>
      <c r="D155" s="2" t="s">
        <v>40</v>
      </c>
      <c r="E155" s="2">
        <v>21</v>
      </c>
      <c r="F155" s="2">
        <v>7560.2099999999991</v>
      </c>
      <c r="G155" s="3">
        <f>VLOOKUP(C155,'[1]אחוז ניהול'!F:H,3,0)</f>
        <v>0.1</v>
      </c>
      <c r="H155" s="4">
        <f>SUM(F155*G155)</f>
        <v>756.02099999999996</v>
      </c>
    </row>
    <row r="156" spans="1:8" x14ac:dyDescent="0.2">
      <c r="A156" s="2"/>
      <c r="B156" s="2"/>
      <c r="C156" s="2">
        <v>6001521</v>
      </c>
      <c r="D156" s="2" t="s">
        <v>41</v>
      </c>
      <c r="E156" s="2">
        <v>1</v>
      </c>
      <c r="F156" s="2">
        <v>360.02</v>
      </c>
      <c r="G156" s="3">
        <f>VLOOKUP(C156,'[1]אחוז ניהול'!F:H,3,0)</f>
        <v>0.1</v>
      </c>
      <c r="H156" s="4">
        <f>SUM(F156*G156)</f>
        <v>36.002000000000002</v>
      </c>
    </row>
    <row r="157" spans="1:8" x14ac:dyDescent="0.2">
      <c r="A157" s="2"/>
      <c r="B157" s="2"/>
      <c r="C157" s="2">
        <v>6017200</v>
      </c>
      <c r="D157" s="2" t="s">
        <v>23</v>
      </c>
      <c r="E157" s="2">
        <v>22</v>
      </c>
      <c r="F157" s="2">
        <v>13200.07</v>
      </c>
      <c r="G157" s="3">
        <f>VLOOKUP(C157,'[1]אחוז ניהול'!F:H,3,0)</f>
        <v>0.1</v>
      </c>
      <c r="H157" s="4">
        <f>SUM(F157*G157)</f>
        <v>1320.0070000000001</v>
      </c>
    </row>
    <row r="158" spans="1:8" x14ac:dyDescent="0.2">
      <c r="A158" s="2"/>
      <c r="B158" s="2"/>
      <c r="C158" s="2">
        <v>6017201</v>
      </c>
      <c r="D158" s="2" t="s">
        <v>24</v>
      </c>
      <c r="E158" s="2">
        <v>11</v>
      </c>
      <c r="F158" s="2">
        <v>6599.92</v>
      </c>
      <c r="G158" s="3">
        <f>VLOOKUP(C158,'[1]אחוז ניהול'!F:H,3,0)</f>
        <v>0.1</v>
      </c>
      <c r="H158" s="4">
        <f>SUM(F158*G158)</f>
        <v>659.99200000000008</v>
      </c>
    </row>
    <row r="159" spans="1:8" x14ac:dyDescent="0.2">
      <c r="A159" s="2"/>
      <c r="B159" s="2"/>
      <c r="C159" s="2">
        <v>6017202</v>
      </c>
      <c r="D159" s="2" t="s">
        <v>25</v>
      </c>
      <c r="E159" s="2">
        <v>8</v>
      </c>
      <c r="F159" s="2">
        <v>4800.09</v>
      </c>
      <c r="G159" s="3">
        <f>VLOOKUP(C159,'[1]אחוז ניהול'!F:H,3,0)</f>
        <v>0.1</v>
      </c>
      <c r="H159" s="4">
        <f>SUM(F159*G159)</f>
        <v>480.00900000000001</v>
      </c>
    </row>
    <row r="160" spans="1:8" x14ac:dyDescent="0.2">
      <c r="A160" s="2"/>
      <c r="B160" s="2"/>
      <c r="C160" s="2">
        <v>6017501</v>
      </c>
      <c r="D160" s="2" t="s">
        <v>26</v>
      </c>
      <c r="E160" s="2">
        <v>35</v>
      </c>
      <c r="F160" s="2">
        <v>18667.12</v>
      </c>
      <c r="G160" s="3">
        <f>VLOOKUP(C160,'[1]אחוז ניהול'!F:H,3,0)</f>
        <v>0.1</v>
      </c>
      <c r="H160" s="4">
        <f>SUM(F160*G160)</f>
        <v>1866.712</v>
      </c>
    </row>
    <row r="161" spans="1:8" x14ac:dyDescent="0.2">
      <c r="A161" s="2"/>
      <c r="B161" s="2"/>
      <c r="C161" s="2">
        <v>7001250</v>
      </c>
      <c r="D161" s="2" t="s">
        <v>27</v>
      </c>
      <c r="E161" s="2">
        <v>27</v>
      </c>
      <c r="F161" s="2">
        <v>3483.19</v>
      </c>
      <c r="G161" s="3">
        <f>VLOOKUP(C161,'[1]אחוז ניהול'!F:H,3,0)</f>
        <v>0.17</v>
      </c>
      <c r="H161" s="4">
        <f>SUM(F161*G161)</f>
        <v>592.14230000000009</v>
      </c>
    </row>
    <row r="162" spans="1:8" x14ac:dyDescent="0.2">
      <c r="A162" s="2"/>
      <c r="B162" s="2"/>
      <c r="C162" s="2">
        <v>80101220</v>
      </c>
      <c r="D162" s="2" t="s">
        <v>28</v>
      </c>
      <c r="E162" s="2">
        <v>63</v>
      </c>
      <c r="F162" s="2">
        <v>8013.6100000000006</v>
      </c>
      <c r="G162" s="3">
        <f>VLOOKUP(C162,'[1]אחוז ניהול'!F:H,3,0)</f>
        <v>0.1</v>
      </c>
      <c r="H162" s="4">
        <f>SUM(F162*G162)</f>
        <v>801.3610000000001</v>
      </c>
    </row>
    <row r="163" spans="1:8" x14ac:dyDescent="0.2">
      <c r="A163" s="2"/>
      <c r="B163" s="2"/>
      <c r="C163" s="2">
        <v>80204140</v>
      </c>
      <c r="D163" s="2" t="s">
        <v>42</v>
      </c>
      <c r="E163" s="2">
        <v>7</v>
      </c>
      <c r="F163" s="2">
        <v>720.29</v>
      </c>
      <c r="G163" s="3">
        <f>VLOOKUP(C163,'[1]אחוז ניהול'!F:H,3,0)</f>
        <v>0.1</v>
      </c>
      <c r="H163" s="4">
        <f>SUM(F163*G163)</f>
        <v>72.028999999999996</v>
      </c>
    </row>
    <row r="164" spans="1:8" x14ac:dyDescent="0.2">
      <c r="A164" s="2"/>
      <c r="B164" s="2"/>
      <c r="C164" s="2">
        <v>80307220</v>
      </c>
      <c r="D164" s="2" t="s">
        <v>29</v>
      </c>
      <c r="E164" s="2">
        <v>48</v>
      </c>
      <c r="F164" s="2">
        <v>6105.6900000000005</v>
      </c>
      <c r="G164" s="3">
        <f>VLOOKUP(C164,'[1]אחוז ניהול'!F:H,3,0)</f>
        <v>0.1</v>
      </c>
      <c r="H164" s="4">
        <f>SUM(F164*G164)</f>
        <v>610.56900000000007</v>
      </c>
    </row>
    <row r="165" spans="1:8" x14ac:dyDescent="0.2">
      <c r="G165" s="8" t="s">
        <v>53</v>
      </c>
      <c r="H165" s="9">
        <f>SUM(H2:H164)</f>
        <v>127547.81930000002</v>
      </c>
    </row>
    <row r="166" spans="1:8" x14ac:dyDescent="0.2">
      <c r="G166" s="6" t="s">
        <v>54</v>
      </c>
      <c r="H166" s="7">
        <f>H165*1.18</f>
        <v>150506.42677400002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Goren</dc:creator>
  <cp:lastModifiedBy>Eli Goren</cp:lastModifiedBy>
  <dcterms:created xsi:type="dcterms:W3CDTF">2025-12-31T08:33:29Z</dcterms:created>
  <dcterms:modified xsi:type="dcterms:W3CDTF">2025-12-31T08:35:55Z</dcterms:modified>
</cp:coreProperties>
</file>